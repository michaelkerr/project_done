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/>
  <workbookPr date1904="1" showInkAnnotation="0" autoCompressPictures="0"/>
  <bookViews>
    <workbookView xWindow="1100" yWindow="-21420" windowWidth="33600" windowHeight="20000" tabRatio="500" activeTab="1"/>
  </bookViews>
  <sheets>
    <sheet name="Dates" sheetId="3" r:id="rId1"/>
    <sheet name="ToDo" sheetId="1" r:id="rId2"/>
    <sheet name="Validation" sheetId="4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" i="1" l="1"/>
  <c r="H9" i="1"/>
  <c r="H10" i="1"/>
  <c r="H13" i="1"/>
  <c r="H14" i="1"/>
  <c r="H15" i="1"/>
  <c r="H18" i="1"/>
  <c r="H20" i="1"/>
  <c r="H21" i="1"/>
  <c r="H23" i="1"/>
  <c r="H25" i="1"/>
  <c r="H26" i="1"/>
  <c r="H27" i="1"/>
  <c r="H28" i="1"/>
  <c r="H29" i="1"/>
  <c r="H30" i="1"/>
  <c r="H31" i="1"/>
  <c r="H37" i="1"/>
  <c r="H41" i="1"/>
  <c r="H42" i="1"/>
  <c r="H43" i="1"/>
  <c r="H46" i="1"/>
  <c r="H51" i="1"/>
  <c r="H52" i="1"/>
  <c r="H2" i="1"/>
  <c r="H5" i="1"/>
  <c r="H6" i="1"/>
  <c r="H16" i="1"/>
  <c r="H17" i="1"/>
  <c r="H19" i="1"/>
  <c r="H22" i="1"/>
  <c r="H24" i="1"/>
  <c r="H32" i="1"/>
  <c r="H35" i="1"/>
  <c r="H38" i="1"/>
  <c r="H39" i="1"/>
  <c r="H40" i="1"/>
  <c r="H45" i="1"/>
  <c r="H47" i="1"/>
  <c r="H48" i="1"/>
  <c r="H11" i="1"/>
  <c r="H33" i="1"/>
  <c r="H34" i="1"/>
  <c r="H36" i="1"/>
  <c r="H44" i="1"/>
  <c r="H49" i="1"/>
  <c r="H50" i="1"/>
  <c r="H12" i="1"/>
  <c r="H4" i="1"/>
  <c r="H7" i="1"/>
  <c r="H3" i="1"/>
  <c r="G12" i="1"/>
  <c r="G4" i="1"/>
  <c r="F4" i="1"/>
  <c r="G7" i="1"/>
  <c r="F7" i="1"/>
  <c r="G8" i="1"/>
  <c r="F8" i="1"/>
  <c r="G9" i="1"/>
  <c r="F9" i="1"/>
  <c r="G10" i="1"/>
  <c r="F10" i="1"/>
  <c r="G13" i="1"/>
  <c r="F13" i="1"/>
  <c r="G14" i="1"/>
  <c r="F14" i="1"/>
  <c r="G15" i="1"/>
  <c r="F15" i="1"/>
  <c r="G18" i="1"/>
  <c r="F18" i="1"/>
  <c r="G20" i="1"/>
  <c r="F20" i="1"/>
  <c r="G21" i="1"/>
  <c r="F21" i="1"/>
  <c r="G23" i="1"/>
  <c r="F23" i="1"/>
  <c r="G25" i="1"/>
  <c r="F25" i="1"/>
  <c r="G26" i="1"/>
  <c r="F26" i="1"/>
  <c r="G27" i="1"/>
  <c r="F27" i="1"/>
  <c r="G28" i="1"/>
  <c r="F28" i="1"/>
  <c r="G29" i="1"/>
  <c r="F29" i="1"/>
  <c r="G30" i="1"/>
  <c r="F30" i="1"/>
  <c r="G31" i="1"/>
  <c r="F31" i="1"/>
  <c r="G37" i="1"/>
  <c r="F37" i="1"/>
  <c r="G41" i="1"/>
  <c r="F41" i="1"/>
  <c r="G42" i="1"/>
  <c r="F42" i="1"/>
  <c r="G43" i="1"/>
  <c r="F43" i="1"/>
  <c r="G46" i="1"/>
  <c r="F46" i="1"/>
  <c r="G51" i="1"/>
  <c r="F51" i="1"/>
  <c r="G52" i="1"/>
  <c r="F52" i="1"/>
  <c r="G2" i="1"/>
  <c r="F2" i="1"/>
  <c r="G5" i="1"/>
  <c r="F5" i="1"/>
  <c r="G6" i="1"/>
  <c r="F6" i="1"/>
  <c r="G16" i="1"/>
  <c r="F16" i="1"/>
  <c r="G17" i="1"/>
  <c r="F17" i="1"/>
  <c r="G19" i="1"/>
  <c r="F19" i="1"/>
  <c r="G22" i="1"/>
  <c r="F22" i="1"/>
  <c r="G24" i="1"/>
  <c r="F24" i="1"/>
  <c r="G32" i="1"/>
  <c r="F32" i="1"/>
  <c r="G35" i="1"/>
  <c r="F35" i="1"/>
  <c r="G38" i="1"/>
  <c r="F38" i="1"/>
  <c r="G39" i="1"/>
  <c r="F39" i="1"/>
  <c r="G40" i="1"/>
  <c r="F40" i="1"/>
  <c r="G45" i="1"/>
  <c r="F45" i="1"/>
  <c r="G47" i="1"/>
  <c r="F47" i="1"/>
  <c r="G48" i="1"/>
  <c r="F48" i="1"/>
  <c r="F11" i="1"/>
  <c r="F33" i="1"/>
  <c r="F34" i="1"/>
  <c r="F36" i="1"/>
  <c r="F44" i="1"/>
  <c r="F49" i="1"/>
  <c r="F50" i="1"/>
  <c r="F12" i="1"/>
  <c r="B1" i="3"/>
  <c r="G3" i="1"/>
  <c r="F3" i="1"/>
  <c r="I3" i="1"/>
  <c r="I4" i="1"/>
  <c r="I7" i="1"/>
  <c r="I8" i="1"/>
  <c r="I9" i="1"/>
  <c r="I10" i="1"/>
  <c r="I13" i="1"/>
  <c r="I14" i="1"/>
  <c r="I15" i="1"/>
  <c r="I18" i="1"/>
  <c r="I20" i="1"/>
  <c r="I21" i="1"/>
  <c r="I23" i="1"/>
  <c r="I25" i="1"/>
  <c r="I26" i="1"/>
  <c r="I27" i="1"/>
  <c r="I28" i="1"/>
  <c r="I29" i="1"/>
  <c r="I30" i="1"/>
  <c r="I31" i="1"/>
  <c r="I37" i="1"/>
  <c r="I41" i="1"/>
  <c r="I42" i="1"/>
  <c r="I43" i="1"/>
  <c r="I46" i="1"/>
  <c r="I51" i="1"/>
  <c r="I52" i="1"/>
  <c r="I2" i="1"/>
  <c r="I5" i="1"/>
  <c r="I6" i="1"/>
  <c r="I16" i="1"/>
  <c r="I17" i="1"/>
  <c r="I19" i="1"/>
  <c r="I22" i="1"/>
  <c r="I24" i="1"/>
  <c r="I32" i="1"/>
  <c r="I35" i="1"/>
  <c r="I38" i="1"/>
  <c r="I39" i="1"/>
  <c r="I40" i="1"/>
  <c r="I45" i="1"/>
  <c r="I47" i="1"/>
  <c r="I48" i="1"/>
  <c r="G33" i="1"/>
  <c r="G34" i="1"/>
  <c r="G36" i="1"/>
  <c r="G44" i="1"/>
  <c r="G49" i="1"/>
  <c r="G50" i="1"/>
  <c r="G11" i="1"/>
  <c r="J3" i="1"/>
  <c r="J4" i="1"/>
  <c r="J7" i="1"/>
  <c r="J8" i="1"/>
  <c r="J9" i="1"/>
  <c r="J10" i="1"/>
  <c r="J13" i="1"/>
  <c r="J14" i="1"/>
  <c r="J15" i="1"/>
  <c r="J18" i="1"/>
  <c r="J20" i="1"/>
  <c r="J21" i="1"/>
  <c r="J23" i="1"/>
  <c r="J25" i="1"/>
  <c r="J26" i="1"/>
  <c r="J27" i="1"/>
  <c r="J28" i="1"/>
  <c r="J29" i="1"/>
  <c r="J30" i="1"/>
  <c r="J31" i="1"/>
  <c r="J37" i="1"/>
  <c r="J41" i="1"/>
  <c r="J42" i="1"/>
  <c r="J43" i="1"/>
  <c r="J46" i="1"/>
  <c r="J51" i="1"/>
  <c r="J52" i="1"/>
  <c r="J2" i="1"/>
  <c r="J5" i="1"/>
  <c r="J6" i="1"/>
  <c r="J16" i="1"/>
  <c r="J17" i="1"/>
  <c r="J19" i="1"/>
  <c r="J22" i="1"/>
  <c r="J24" i="1"/>
  <c r="J32" i="1"/>
  <c r="J35" i="1"/>
  <c r="J38" i="1"/>
  <c r="J39" i="1"/>
  <c r="J40" i="1"/>
  <c r="J45" i="1"/>
  <c r="J47" i="1"/>
  <c r="J48" i="1"/>
  <c r="I12" i="1"/>
  <c r="J12" i="1"/>
  <c r="I50" i="1"/>
  <c r="J50" i="1"/>
  <c r="I49" i="1"/>
  <c r="J49" i="1"/>
  <c r="I44" i="1"/>
  <c r="J44" i="1"/>
  <c r="I36" i="1"/>
  <c r="J36" i="1"/>
  <c r="I34" i="1"/>
  <c r="J34" i="1"/>
  <c r="I33" i="1"/>
  <c r="J33" i="1"/>
  <c r="I11" i="1"/>
  <c r="J11" i="1"/>
</calcChain>
</file>

<file path=xl/sharedStrings.xml><?xml version="1.0" encoding="utf-8"?>
<sst xmlns="http://schemas.openxmlformats.org/spreadsheetml/2006/main" count="273" uniqueCount="123">
  <si>
    <t>Summary</t>
  </si>
  <si>
    <t>Status</t>
  </si>
  <si>
    <t>Backend Tech Debt Paydown Dec</t>
  </si>
  <si>
    <t>Backlog</t>
  </si>
  <si>
    <t>December Reveal</t>
  </si>
  <si>
    <t>ID-2266</t>
  </si>
  <si>
    <t>Biometric Device Unlock</t>
  </si>
  <si>
    <t>ID-2265</t>
  </si>
  <si>
    <t>In Progress</t>
  </si>
  <si>
    <t>S2 Platform</t>
  </si>
  <si>
    <t>Manage Addresses 2.0</t>
  </si>
  <si>
    <t>Launch Ready</t>
  </si>
  <si>
    <t>ID-2229</t>
  </si>
  <si>
    <t>Recover Account (Email)</t>
  </si>
  <si>
    <t>Not Started</t>
  </si>
  <si>
    <t>ID-2221</t>
  </si>
  <si>
    <t>Collect Missing Info</t>
  </si>
  <si>
    <t>ID-2220</t>
  </si>
  <si>
    <t>Reservation Management</t>
  </si>
  <si>
    <t>ID-2219</t>
  </si>
  <si>
    <t>Custom Groups</t>
  </si>
  <si>
    <t>Dev Portal October</t>
  </si>
  <si>
    <t>ID-2210</t>
  </si>
  <si>
    <t>Send and Validate Access Tokens</t>
  </si>
  <si>
    <t>ID-2165</t>
  </si>
  <si>
    <t>Change Primary Email</t>
  </si>
  <si>
    <t>ID-2124</t>
  </si>
  <si>
    <t>Profile Redesign (Reveal)</t>
  </si>
  <si>
    <t>ID-2080</t>
  </si>
  <si>
    <t>Auth Flow Redesign (Reveal)</t>
  </si>
  <si>
    <t>ID-2079</t>
  </si>
  <si>
    <t>Notification Preferences</t>
  </si>
  <si>
    <t>ID-1967</t>
  </si>
  <si>
    <t>Account Recovery - Support</t>
  </si>
  <si>
    <t>ID-1966</t>
  </si>
  <si>
    <t>Anytime Challenge</t>
  </si>
  <si>
    <t>ID-1947</t>
  </si>
  <si>
    <t>User Bio</t>
  </si>
  <si>
    <t>ID-1946</t>
  </si>
  <si>
    <t>Email Account Confirm Link</t>
  </si>
  <si>
    <t>ID-1943</t>
  </si>
  <si>
    <t>Passwordless 2.0</t>
  </si>
  <si>
    <t>ID-1921</t>
  </si>
  <si>
    <t>Identity Multi Region</t>
  </si>
  <si>
    <t>ID-1920</t>
  </si>
  <si>
    <t>Notifications</t>
  </si>
  <si>
    <t>ID-1919</t>
  </si>
  <si>
    <t>Account Recovery - Email</t>
  </si>
  <si>
    <t>ID-1918</t>
  </si>
  <si>
    <t>Account Recovery with Code</t>
  </si>
  <si>
    <t>ID-1917</t>
  </si>
  <si>
    <t>MFA</t>
  </si>
  <si>
    <t>ID-1916</t>
  </si>
  <si>
    <t>Account Recovery - Facebook</t>
  </si>
  <si>
    <t>ID-1915</t>
  </si>
  <si>
    <t>Account Lock/Unlock</t>
  </si>
  <si>
    <t>ID-1914</t>
  </si>
  <si>
    <t>Identity Landing Page</t>
  </si>
  <si>
    <t>ID-1911</t>
  </si>
  <si>
    <t>Device Management (ML Admin)</t>
  </si>
  <si>
    <t>ID-1903</t>
  </si>
  <si>
    <t>Web Device Management (Mobile)</t>
  </si>
  <si>
    <t>ID-1902</t>
  </si>
  <si>
    <t>Device Management (Web)</t>
  </si>
  <si>
    <t>ID-1901</t>
  </si>
  <si>
    <t>Restore User Data</t>
  </si>
  <si>
    <t>ID-1889</t>
  </si>
  <si>
    <t>Easy Login (Old QR Code)</t>
  </si>
  <si>
    <t>ID-1887</t>
  </si>
  <si>
    <t>Data Preservation for Legal Holds</t>
  </si>
  <si>
    <t>ID-1858</t>
  </si>
  <si>
    <t>Store the Device EULA Acceptance</t>
  </si>
  <si>
    <t>Late-Blocked</t>
  </si>
  <si>
    <t>ID-1791</t>
  </si>
  <si>
    <t>Replace Cognito</t>
  </si>
  <si>
    <t>ID-1766</t>
  </si>
  <si>
    <t>Non-Redirect Auth Flow</t>
  </si>
  <si>
    <t>ID-1722</t>
  </si>
  <si>
    <t>App Services Exchange Token</t>
  </si>
  <si>
    <t>ID-1630</t>
  </si>
  <si>
    <t>Remote Sign Out</t>
  </si>
  <si>
    <t>ID-1613</t>
  </si>
  <si>
    <t>Server Side Sessions</t>
  </si>
  <si>
    <t>ID-1612</t>
  </si>
  <si>
    <t>Manage Billing Information</t>
  </si>
  <si>
    <t>ID-1595</t>
  </si>
  <si>
    <t>Show Payment History</t>
  </si>
  <si>
    <t>ID-1593</t>
  </si>
  <si>
    <t>General Content Management</t>
  </si>
  <si>
    <t>ID-1585</t>
  </si>
  <si>
    <t>Backup and Restore Client Data</t>
  </si>
  <si>
    <t>ID-1100</t>
  </si>
  <si>
    <t>User Lookup</t>
  </si>
  <si>
    <t>ID-1011</t>
  </si>
  <si>
    <t>View Groups in ID Portal</t>
  </si>
  <si>
    <t>ID-959</t>
  </si>
  <si>
    <t>Backup User Data</t>
  </si>
  <si>
    <t>ID-887</t>
  </si>
  <si>
    <t>Unique Client IDs</t>
  </si>
  <si>
    <t>ID-687</t>
  </si>
  <si>
    <t>Agree to New Terms</t>
  </si>
  <si>
    <t>ID-644</t>
  </si>
  <si>
    <t>Delete Account 2.0</t>
  </si>
  <si>
    <t>ID-462</t>
  </si>
  <si>
    <t>Basic Scopes</t>
  </si>
  <si>
    <t>ID-378</t>
  </si>
  <si>
    <t>Account Linking</t>
  </si>
  <si>
    <t>ID-304</t>
  </si>
  <si>
    <t>Device Management (Sensoryware)</t>
  </si>
  <si>
    <t>ID-302</t>
  </si>
  <si>
    <t>User Nickname</t>
  </si>
  <si>
    <t>S2 Apps</t>
  </si>
  <si>
    <t>ID-296</t>
  </si>
  <si>
    <t>Start Date</t>
  </si>
  <si>
    <t>+/-</t>
  </si>
  <si>
    <t>Projected Date</t>
  </si>
  <si>
    <t>Target End Date</t>
  </si>
  <si>
    <t>Start Before</t>
  </si>
  <si>
    <t>Today</t>
  </si>
  <si>
    <t>Key</t>
  </si>
  <si>
    <t>Release</t>
  </si>
  <si>
    <t>Estimate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</si>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</sst>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quotePrefix="1"/>
    <xf numFmtId="1" fontId="0" fillId="0" borderId="0" xfId="0" applyNumberFormat="1"/>
    <xf numFmtId="0" fontId="3" fillId="0" borderId="0" xfId="0" applyFont="1"/>
    <xf numFmtId="14" fontId="3" fillId="0" borderId="0" xfId="0" applyNumberFormat="1" applyFont="1"/>
    <xf numFmtId="14" fontId="3" fillId="0" borderId="0" xfId="0" quotePrefix="1" applyNumberFormat="1" applyFont="1"/>
  </cellXfs>
  <cellStyles count="8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sqref="A1:B5"/>
    </sheetView>
  </sheetViews>
  <sheetFormatPr baseColWidth="10" defaultRowHeight="15" x14ac:dyDescent="0"/>
  <cols>
    <col min="1" max="1" width="15.5" bestFit="1" customWidth="1"/>
    <col min="2" max="2" width="12.83203125" bestFit="1" customWidth="1"/>
  </cols>
  <sheetData>
    <row r="1" spans="1:2">
      <c r="A1" t="s">
        <v>118</v>
      </c>
      <c r="B1" s="1">
        <f ca="1">NOW()</f>
        <v>41550.484918981485</v>
      </c>
    </row>
    <row r="2" spans="1:2">
      <c r="A2" t="s">
        <v>9</v>
      </c>
      <c r="B2" s="2">
        <v>41577</v>
      </c>
    </row>
    <row r="3" spans="1:2">
      <c r="A3" t="s">
        <v>4</v>
      </c>
      <c r="B3" s="2">
        <v>41613</v>
      </c>
    </row>
    <row r="4" spans="1:2">
      <c r="A4" t="s">
        <v>111</v>
      </c>
      <c r="B4" s="2">
        <v>41629</v>
      </c>
    </row>
    <row r="5" spans="1:2">
      <c r="A5" t="s">
        <v>11</v>
      </c>
      <c r="B5" s="2">
        <v>41762</v>
      </c>
    </row>
  </sheetData>
  <sortState ref="A2:B5">
    <sortCondition ref="B2:B5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6"/>
  <sheetViews>
    <sheetView tabSelected="1" workbookViewId="0">
      <pane ySplit="1" topLeftCell="A18" activePane="bottomLeft" state="frozen"/>
      <selection pane="bottomLeft" activeCell="N25" sqref="N25"/>
    </sheetView>
  </sheetViews>
  <sheetFormatPr baseColWidth="10" defaultRowHeight="15" x14ac:dyDescent="0"/>
  <cols>
    <col min="2" max="2" width="30.1640625" bestFit="1" customWidth="1"/>
    <col min="3" max="3" width="11.6640625" bestFit="1" customWidth="1"/>
    <col min="4" max="4" width="16.83203125" bestFit="1" customWidth="1"/>
    <col min="6" max="6" width="12.83203125" bestFit="1" customWidth="1"/>
    <col min="7" max="7" width="12.83203125" customWidth="1"/>
    <col min="8" max="8" width="13.83203125" bestFit="1" customWidth="1"/>
    <col min="9" max="9" width="13.33203125" bestFit="1" customWidth="1"/>
  </cols>
  <sheetData>
    <row r="1" spans="1:10">
      <c r="A1" t="s">
        <v>119</v>
      </c>
      <c r="B1" t="s">
        <v>0</v>
      </c>
      <c r="C1" t="s">
        <v>1</v>
      </c>
      <c r="D1" t="s">
        <v>120</v>
      </c>
      <c r="E1" t="s">
        <v>121</v>
      </c>
      <c r="F1" t="s">
        <v>113</v>
      </c>
      <c r="G1" t="s">
        <v>117</v>
      </c>
      <c r="H1" t="s">
        <v>116</v>
      </c>
      <c r="I1" t="s">
        <v>115</v>
      </c>
      <c r="J1" s="3" t="s">
        <v>114</v>
      </c>
    </row>
    <row r="2" spans="1:10">
      <c r="A2" t="s">
        <v>93</v>
      </c>
      <c r="B2" t="s">
        <v>92</v>
      </c>
      <c r="C2" t="s">
        <v>14</v>
      </c>
      <c r="D2" t="s">
        <v>4</v>
      </c>
      <c r="E2" s="5">
        <v>23</v>
      </c>
      <c r="F2" s="2">
        <f ca="1">IF(C2="In Progress", NOW(), IF(G2&lt;NOW(), NOW(), G2))</f>
        <v>41590</v>
      </c>
      <c r="G2" s="2">
        <f>H2-E2</f>
        <v>41590</v>
      </c>
      <c r="H2" s="2">
        <f>IF(D2=Dates!$A$2, Dates!$B$2, IF(D2=Dates!$A$3, Dates!$B$3, IF(D2=Dates!$A$4, Dates!$B$4, IF(D2=Dates!$A$5, Dates!$B$5,Dates!$B$5))))</f>
        <v>41613</v>
      </c>
      <c r="I2" s="2">
        <f ca="1">F2+E2</f>
        <v>41613</v>
      </c>
      <c r="J2" s="4">
        <f ca="1">H2-I2</f>
        <v>0</v>
      </c>
    </row>
    <row r="3" spans="1:10">
      <c r="A3" t="s">
        <v>91</v>
      </c>
      <c r="B3" t="s">
        <v>90</v>
      </c>
      <c r="C3" t="s">
        <v>3</v>
      </c>
      <c r="D3" t="s">
        <v>11</v>
      </c>
      <c r="E3" s="5">
        <v>15</v>
      </c>
      <c r="F3" s="2">
        <f ca="1">IF(C3="In Progress", Dates!$B$1, IF(G3&lt;NOW(), NOW(), G3))</f>
        <v>41747</v>
      </c>
      <c r="G3" s="2">
        <f>H3-E3</f>
        <v>41747</v>
      </c>
      <c r="H3" s="2">
        <f>IF(D3=Dates!$A$2, Dates!$B$2, IF(D3=Dates!$A$3, Dates!$B$3, IF(D3=Dates!$A$4, Dates!$B$4, IF(D3=Dates!$A$5, Dates!$B$5,Dates!$B$5))))</f>
        <v>41762</v>
      </c>
      <c r="I3" s="2">
        <f ca="1">F3+E3</f>
        <v>41762</v>
      </c>
      <c r="J3" s="4">
        <f ca="1">H3-I3</f>
        <v>0</v>
      </c>
    </row>
    <row r="4" spans="1:10">
      <c r="A4" t="s">
        <v>89</v>
      </c>
      <c r="B4" t="s">
        <v>88</v>
      </c>
      <c r="C4" t="s">
        <v>3</v>
      </c>
      <c r="D4" t="s">
        <v>11</v>
      </c>
      <c r="E4" s="5">
        <v>30</v>
      </c>
      <c r="F4" s="2">
        <f ca="1">IF(C4="In Progress", NOW(), IF(G4&lt;NOW(), NOW(), G4))</f>
        <v>41732</v>
      </c>
      <c r="G4" s="2">
        <f>H4-E4</f>
        <v>41732</v>
      </c>
      <c r="H4" s="2">
        <f>IF(D4=Dates!$A$2, Dates!$B$2, IF(D4=Dates!$A$3, Dates!$B$3, IF(D4=Dates!$A$4, Dates!$B$4, IF(D4=Dates!$A$5, Dates!$B$5,Dates!$B$5))))</f>
        <v>41762</v>
      </c>
      <c r="I4" s="2">
        <f ca="1">F4+E4</f>
        <v>41762</v>
      </c>
      <c r="J4" s="4">
        <f ca="1">H4-I4</f>
        <v>0</v>
      </c>
    </row>
    <row r="5" spans="1:10">
      <c r="A5" t="s">
        <v>87</v>
      </c>
      <c r="B5" t="s">
        <v>86</v>
      </c>
      <c r="C5" t="s">
        <v>14</v>
      </c>
      <c r="D5" t="s">
        <v>4</v>
      </c>
      <c r="E5" s="5">
        <v>0</v>
      </c>
      <c r="F5" s="2">
        <f ca="1">IF(C5="In Progress", NOW(), IF(G5&lt;NOW(), NOW(), G5))</f>
        <v>41613</v>
      </c>
      <c r="G5" s="2">
        <f>H5-E5</f>
        <v>41613</v>
      </c>
      <c r="H5" s="2">
        <f>IF(D5=Dates!$A$2, Dates!$B$2, IF(D5=Dates!$A$3, Dates!$B$3, IF(D5=Dates!$A$4, Dates!$B$4, IF(D5=Dates!$A$5, Dates!$B$5,Dates!$B$5))))</f>
        <v>41613</v>
      </c>
      <c r="I5" s="2">
        <f ca="1">F5+E5</f>
        <v>41613</v>
      </c>
      <c r="J5" s="4">
        <f ca="1">H5-I5</f>
        <v>0</v>
      </c>
    </row>
    <row r="6" spans="1:10">
      <c r="A6" t="s">
        <v>85</v>
      </c>
      <c r="B6" t="s">
        <v>84</v>
      </c>
      <c r="C6" t="s">
        <v>14</v>
      </c>
      <c r="D6" t="s">
        <v>11</v>
      </c>
      <c r="E6" s="5">
        <v>23</v>
      </c>
      <c r="F6" s="2">
        <f ca="1">IF(C6="In Progress", NOW(), IF(G6&lt;NOW(), NOW(), G6))</f>
        <v>41739</v>
      </c>
      <c r="G6" s="2">
        <f>H6-E6</f>
        <v>41739</v>
      </c>
      <c r="H6" s="2">
        <f>IF(D6=Dates!$A$2, Dates!$B$2, IF(D6=Dates!$A$3, Dates!$B$3, IF(D6=Dates!$A$4, Dates!$B$4, IF(D6=Dates!$A$5, Dates!$B$5,Dates!$B$5))))</f>
        <v>41762</v>
      </c>
      <c r="I6" s="2">
        <f ca="1">F6+E6</f>
        <v>41762</v>
      </c>
      <c r="J6" s="4">
        <f ca="1">H6-I6</f>
        <v>0</v>
      </c>
    </row>
    <row r="7" spans="1:10">
      <c r="A7" t="s">
        <v>83</v>
      </c>
      <c r="B7" t="s">
        <v>82</v>
      </c>
      <c r="C7" t="s">
        <v>3</v>
      </c>
      <c r="D7" t="s">
        <v>4</v>
      </c>
      <c r="E7" s="5">
        <v>23</v>
      </c>
      <c r="F7" s="2">
        <f ca="1">IF(C7="In Progress", NOW(), IF(G7&lt;NOW(), NOW(), G7))</f>
        <v>41590</v>
      </c>
      <c r="G7" s="2">
        <f>H7-E7</f>
        <v>41590</v>
      </c>
      <c r="H7" s="2">
        <f>IF(D7=Dates!$A$2, Dates!$B$2, IF(D7=Dates!$A$3, Dates!$B$3, IF(D7=Dates!$A$4, Dates!$B$4, IF(D7=Dates!$A$5, Dates!$B$5,Dates!$B$5))))</f>
        <v>41613</v>
      </c>
      <c r="I7" s="2">
        <f ca="1">F7+E7</f>
        <v>41613</v>
      </c>
      <c r="J7" s="4">
        <f ca="1">H7-I7</f>
        <v>0</v>
      </c>
    </row>
    <row r="8" spans="1:10">
      <c r="A8" t="s">
        <v>81</v>
      </c>
      <c r="B8" t="s">
        <v>80</v>
      </c>
      <c r="C8" t="s">
        <v>3</v>
      </c>
      <c r="D8" t="s">
        <v>4</v>
      </c>
      <c r="E8" s="5">
        <v>23</v>
      </c>
      <c r="F8" s="2">
        <f ca="1">IF(C8="In Progress", NOW(), IF(G8&lt;NOW(), NOW(), G8))</f>
        <v>41590</v>
      </c>
      <c r="G8" s="2">
        <f>H8-E8</f>
        <v>41590</v>
      </c>
      <c r="H8" s="2">
        <f>IF(D8=Dates!$A$2, Dates!$B$2, IF(D8=Dates!$A$3, Dates!$B$3, IF(D8=Dates!$A$4, Dates!$B$4, IF(D8=Dates!$A$5, Dates!$B$5,Dates!$B$5))))</f>
        <v>41613</v>
      </c>
      <c r="I8" s="2">
        <f ca="1">F8+E8</f>
        <v>41613</v>
      </c>
      <c r="J8" s="4">
        <f ca="1">H8-I8</f>
        <v>0</v>
      </c>
    </row>
    <row r="9" spans="1:10">
      <c r="A9" t="s">
        <v>79</v>
      </c>
      <c r="B9" t="s">
        <v>78</v>
      </c>
      <c r="C9" t="s">
        <v>3</v>
      </c>
      <c r="D9" t="s">
        <v>11</v>
      </c>
      <c r="E9" s="5">
        <v>0</v>
      </c>
      <c r="F9" s="2">
        <f ca="1">IF(C9="In Progress", NOW(), IF(G9&lt;NOW(), NOW(), G9))</f>
        <v>41762</v>
      </c>
      <c r="G9" s="2">
        <f>H9-E9</f>
        <v>41762</v>
      </c>
      <c r="H9" s="2">
        <f>IF(D9=Dates!$A$2, Dates!$B$2, IF(D9=Dates!$A$3, Dates!$B$3, IF(D9=Dates!$A$4, Dates!$B$4, IF(D9=Dates!$A$5, Dates!$B$5,Dates!$B$5))))</f>
        <v>41762</v>
      </c>
      <c r="I9" s="2">
        <f ca="1">F9+E9</f>
        <v>41762</v>
      </c>
      <c r="J9" s="4">
        <f ca="1">H9-I9</f>
        <v>0</v>
      </c>
    </row>
    <row r="10" spans="1:10">
      <c r="A10" t="s">
        <v>77</v>
      </c>
      <c r="B10" t="s">
        <v>76</v>
      </c>
      <c r="C10" t="s">
        <v>3</v>
      </c>
      <c r="D10" t="s">
        <v>11</v>
      </c>
      <c r="E10" s="5">
        <v>8</v>
      </c>
      <c r="F10" s="2">
        <f ca="1">IF(C10="In Progress", NOW(), IF(G10&lt;NOW(), NOW(), G10))</f>
        <v>41754</v>
      </c>
      <c r="G10" s="2">
        <f>H10-E10</f>
        <v>41754</v>
      </c>
      <c r="H10" s="2">
        <f>IF(D10=Dates!$A$2, Dates!$B$2, IF(D10=Dates!$A$3, Dates!$B$3, IF(D10=Dates!$A$4, Dates!$B$4, IF(D10=Dates!$A$5, Dates!$B$5,Dates!$B$5))))</f>
        <v>41762</v>
      </c>
      <c r="I10" s="2">
        <f ca="1">F10+E10</f>
        <v>41762</v>
      </c>
      <c r="J10" s="4">
        <f ca="1">H10-I10</f>
        <v>0</v>
      </c>
    </row>
    <row r="11" spans="1:10">
      <c r="A11" t="s">
        <v>75</v>
      </c>
      <c r="B11" t="s">
        <v>74</v>
      </c>
      <c r="C11" t="s">
        <v>8</v>
      </c>
      <c r="D11" t="s">
        <v>9</v>
      </c>
      <c r="E11" s="5">
        <v>1</v>
      </c>
      <c r="F11" s="2">
        <f ca="1">IF(C11="In Progress", NOW(), IF(G11&lt;NOW(), NOW(), G11))</f>
        <v>41550.484918981485</v>
      </c>
      <c r="G11" s="2">
        <f>H11-E11</f>
        <v>41576</v>
      </c>
      <c r="H11" s="2">
        <f>IF(D11=Dates!$A$2, Dates!$B$2, IF(D11=Dates!$A$3, Dates!$B$3, IF(D11=Dates!$A$4, Dates!$B$4, IF(D11=Dates!$A$5, Dates!$B$5,Dates!$B$5))))</f>
        <v>41577</v>
      </c>
      <c r="I11" s="2">
        <f ca="1">F11+E11</f>
        <v>41551.484918981485</v>
      </c>
      <c r="J11" s="4">
        <f ca="1">H11-I11</f>
        <v>25.515081018515048</v>
      </c>
    </row>
    <row r="12" spans="1:10">
      <c r="A12" t="s">
        <v>73</v>
      </c>
      <c r="B12" t="s">
        <v>71</v>
      </c>
      <c r="C12" t="s">
        <v>72</v>
      </c>
      <c r="D12" t="s">
        <v>9</v>
      </c>
      <c r="E12" s="5">
        <v>2</v>
      </c>
      <c r="F12" s="2">
        <f ca="1">NOW()</f>
        <v>41550.484918981485</v>
      </c>
      <c r="G12" s="2">
        <f>H12-E12</f>
        <v>41575</v>
      </c>
      <c r="H12" s="2">
        <f>IF(D12=Dates!$A$2, Dates!$B$2, IF(D12=Dates!$A$3, Dates!$B$3, IF(D12=Dates!$A$4, Dates!$B$4, IF(D12=Dates!$A$5, Dates!$B$5,Dates!$B$5))))</f>
        <v>41577</v>
      </c>
      <c r="I12" s="2">
        <f ca="1">F12+E12</f>
        <v>41552.484918981485</v>
      </c>
      <c r="J12" s="4">
        <f ca="1">H12-I12</f>
        <v>24.515081018515048</v>
      </c>
    </row>
    <row r="13" spans="1:10">
      <c r="A13" t="s">
        <v>70</v>
      </c>
      <c r="B13" t="s">
        <v>69</v>
      </c>
      <c r="C13" t="s">
        <v>3</v>
      </c>
      <c r="D13" t="s">
        <v>4</v>
      </c>
      <c r="E13" s="5">
        <v>0</v>
      </c>
      <c r="F13" s="2">
        <f ca="1">IF(C13="In Progress", NOW(), IF(G13&lt;NOW(), NOW(), G13))</f>
        <v>41613</v>
      </c>
      <c r="G13" s="2">
        <f>H13-E13</f>
        <v>41613</v>
      </c>
      <c r="H13" s="2">
        <f>IF(D13=Dates!$A$2, Dates!$B$2, IF(D13=Dates!$A$3, Dates!$B$3, IF(D13=Dates!$A$4, Dates!$B$4, IF(D13=Dates!$A$5, Dates!$B$5,Dates!$B$5))))</f>
        <v>41613</v>
      </c>
      <c r="I13" s="2">
        <f ca="1">F13+E13</f>
        <v>41613</v>
      </c>
      <c r="J13" s="4">
        <f ca="1">H13-I13</f>
        <v>0</v>
      </c>
    </row>
    <row r="14" spans="1:10">
      <c r="A14" t="s">
        <v>68</v>
      </c>
      <c r="B14" t="s">
        <v>67</v>
      </c>
      <c r="C14" t="s">
        <v>3</v>
      </c>
      <c r="D14" t="s">
        <v>4</v>
      </c>
      <c r="E14" s="5">
        <v>0</v>
      </c>
      <c r="F14" s="2">
        <f ca="1">IF(C14="In Progress", NOW(), IF(G14&lt;NOW(), NOW(), G14))</f>
        <v>41613</v>
      </c>
      <c r="G14" s="2">
        <f>H14-E14</f>
        <v>41613</v>
      </c>
      <c r="H14" s="2">
        <f>IF(D14=Dates!$A$2, Dates!$B$2, IF(D14=Dates!$A$3, Dates!$B$3, IF(D14=Dates!$A$4, Dates!$B$4, IF(D14=Dates!$A$5, Dates!$B$5,Dates!$B$5))))</f>
        <v>41613</v>
      </c>
      <c r="I14" s="2">
        <f ca="1">F14+E14</f>
        <v>41613</v>
      </c>
      <c r="J14" s="4">
        <f ca="1">H14-I14</f>
        <v>0</v>
      </c>
    </row>
    <row r="15" spans="1:10">
      <c r="A15" t="s">
        <v>66</v>
      </c>
      <c r="B15" t="s">
        <v>65</v>
      </c>
      <c r="C15" t="s">
        <v>3</v>
      </c>
      <c r="D15" t="s">
        <v>11</v>
      </c>
      <c r="E15" s="5">
        <v>15</v>
      </c>
      <c r="F15" s="2">
        <f ca="1">IF(C15="In Progress", NOW(), IF(G15&lt;NOW(), NOW(), G15))</f>
        <v>41747</v>
      </c>
      <c r="G15" s="2">
        <f>H15-E15</f>
        <v>41747</v>
      </c>
      <c r="H15" s="2">
        <f>IF(D15=Dates!$A$2, Dates!$B$2, IF(D15=Dates!$A$3, Dates!$B$3, IF(D15=Dates!$A$4, Dates!$B$4, IF(D15=Dates!$A$5, Dates!$B$5,Dates!$B$5))))</f>
        <v>41762</v>
      </c>
      <c r="I15" s="2">
        <f ca="1">F15+E15</f>
        <v>41762</v>
      </c>
      <c r="J15" s="4">
        <f ca="1">H15-I15</f>
        <v>0</v>
      </c>
    </row>
    <row r="16" spans="1:10">
      <c r="A16" t="s">
        <v>64</v>
      </c>
      <c r="B16" t="s">
        <v>63</v>
      </c>
      <c r="C16" t="s">
        <v>14</v>
      </c>
      <c r="D16" t="s">
        <v>4</v>
      </c>
      <c r="E16" s="5">
        <v>23</v>
      </c>
      <c r="F16" s="2">
        <f ca="1">IF(C16="In Progress", NOW(), IF(G16&lt;NOW(), NOW(), G16))</f>
        <v>41590</v>
      </c>
      <c r="G16" s="2">
        <f>H16-E16</f>
        <v>41590</v>
      </c>
      <c r="H16" s="2">
        <f>IF(D16=Dates!$A$2, Dates!$B$2, IF(D16=Dates!$A$3, Dates!$B$3, IF(D16=Dates!$A$4, Dates!$B$4, IF(D16=Dates!$A$5, Dates!$B$5,Dates!$B$5))))</f>
        <v>41613</v>
      </c>
      <c r="I16" s="2">
        <f ca="1">F16+E16</f>
        <v>41613</v>
      </c>
      <c r="J16" s="4">
        <f ca="1">H16-I16</f>
        <v>0</v>
      </c>
    </row>
    <row r="17" spans="1:10">
      <c r="A17" t="s">
        <v>62</v>
      </c>
      <c r="B17" t="s">
        <v>61</v>
      </c>
      <c r="C17" t="s">
        <v>14</v>
      </c>
      <c r="D17" t="s">
        <v>11</v>
      </c>
      <c r="E17" s="5">
        <v>23</v>
      </c>
      <c r="F17" s="2">
        <f ca="1">IF(C17="In Progress", NOW(), IF(G17&lt;NOW(), NOW(), G17))</f>
        <v>41739</v>
      </c>
      <c r="G17" s="2">
        <f>H17-E17</f>
        <v>41739</v>
      </c>
      <c r="H17" s="2">
        <f>IF(D17=Dates!$A$2, Dates!$B$2, IF(D17=Dates!$A$3, Dates!$B$3, IF(D17=Dates!$A$4, Dates!$B$4, IF(D17=Dates!$A$5, Dates!$B$5,Dates!$B$5))))</f>
        <v>41762</v>
      </c>
      <c r="I17" s="2">
        <f ca="1">F17+E17</f>
        <v>41762</v>
      </c>
      <c r="J17" s="4">
        <f ca="1">H17-I17</f>
        <v>0</v>
      </c>
    </row>
    <row r="18" spans="1:10">
      <c r="A18" t="s">
        <v>60</v>
      </c>
      <c r="B18" t="s">
        <v>59</v>
      </c>
      <c r="C18" t="s">
        <v>3</v>
      </c>
      <c r="D18" t="s">
        <v>11</v>
      </c>
      <c r="E18" s="5">
        <v>23</v>
      </c>
      <c r="F18" s="2">
        <f ca="1">IF(C18="In Progress", NOW(), IF(G18&lt;NOW(), NOW(), G18))</f>
        <v>41739</v>
      </c>
      <c r="G18" s="2">
        <f>H18-E18</f>
        <v>41739</v>
      </c>
      <c r="H18" s="2">
        <f>IF(D18=Dates!$A$2, Dates!$B$2, IF(D18=Dates!$A$3, Dates!$B$3, IF(D18=Dates!$A$4, Dates!$B$4, IF(D18=Dates!$A$5, Dates!$B$5,Dates!$B$5))))</f>
        <v>41762</v>
      </c>
      <c r="I18" s="2">
        <f ca="1">F18+E18</f>
        <v>41762</v>
      </c>
      <c r="J18" s="4">
        <f ca="1">H18-I18</f>
        <v>0</v>
      </c>
    </row>
    <row r="19" spans="1:10">
      <c r="A19" t="s">
        <v>58</v>
      </c>
      <c r="B19" t="s">
        <v>57</v>
      </c>
      <c r="C19" t="s">
        <v>14</v>
      </c>
      <c r="D19" t="s">
        <v>11</v>
      </c>
      <c r="E19" s="5">
        <v>23</v>
      </c>
      <c r="F19" s="2">
        <f ca="1">IF(C19="In Progress", NOW(), IF(G19&lt;NOW(), NOW(), G19))</f>
        <v>41739</v>
      </c>
      <c r="G19" s="2">
        <f>H19-E19</f>
        <v>41739</v>
      </c>
      <c r="H19" s="2">
        <f>IF(D19=Dates!$A$2, Dates!$B$2, IF(D19=Dates!$A$3, Dates!$B$3, IF(D19=Dates!$A$4, Dates!$B$4, IF(D19=Dates!$A$5, Dates!$B$5,Dates!$B$5))))</f>
        <v>41762</v>
      </c>
      <c r="I19" s="2">
        <f ca="1">F19+E19</f>
        <v>41762</v>
      </c>
      <c r="J19" s="4">
        <f ca="1">H19-I19</f>
        <v>0</v>
      </c>
    </row>
    <row r="20" spans="1:10">
      <c r="A20" t="s">
        <v>56</v>
      </c>
      <c r="B20" t="s">
        <v>55</v>
      </c>
      <c r="C20" t="s">
        <v>3</v>
      </c>
      <c r="D20" t="s">
        <v>11</v>
      </c>
      <c r="E20" s="5">
        <v>8</v>
      </c>
      <c r="F20" s="2">
        <f ca="1">IF(C20="In Progress", NOW(), IF(G20&lt;NOW(), NOW(), G20))</f>
        <v>41754</v>
      </c>
      <c r="G20" s="2">
        <f>H20-E20</f>
        <v>41754</v>
      </c>
      <c r="H20" s="2">
        <f>IF(D20=Dates!$A$2, Dates!$B$2, IF(D20=Dates!$A$3, Dates!$B$3, IF(D20=Dates!$A$4, Dates!$B$4, IF(D20=Dates!$A$5, Dates!$B$5,Dates!$B$5))))</f>
        <v>41762</v>
      </c>
      <c r="I20" s="2">
        <f ca="1">F20+E20</f>
        <v>41762</v>
      </c>
      <c r="J20" s="4">
        <f ca="1">H20-I20</f>
        <v>0</v>
      </c>
    </row>
    <row r="21" spans="1:10">
      <c r="A21" t="s">
        <v>54</v>
      </c>
      <c r="B21" t="s">
        <v>53</v>
      </c>
      <c r="C21" t="s">
        <v>3</v>
      </c>
      <c r="D21" t="s">
        <v>11</v>
      </c>
      <c r="E21" s="5">
        <v>15</v>
      </c>
      <c r="F21" s="2">
        <f ca="1">IF(C21="In Progress", NOW(), IF(G21&lt;NOW(), NOW(), G21))</f>
        <v>41747</v>
      </c>
      <c r="G21" s="2">
        <f>H21-E21</f>
        <v>41747</v>
      </c>
      <c r="H21" s="2">
        <f>IF(D21=Dates!$A$2, Dates!$B$2, IF(D21=Dates!$A$3, Dates!$B$3, IF(D21=Dates!$A$4, Dates!$B$4, IF(D21=Dates!$A$5, Dates!$B$5,Dates!$B$5))))</f>
        <v>41762</v>
      </c>
      <c r="I21" s="2">
        <f ca="1">F21+E21</f>
        <v>41762</v>
      </c>
      <c r="J21" s="4">
        <f ca="1">H21-I21</f>
        <v>0</v>
      </c>
    </row>
    <row r="22" spans="1:10">
      <c r="A22" t="s">
        <v>52</v>
      </c>
      <c r="B22" t="s">
        <v>51</v>
      </c>
      <c r="C22" t="s">
        <v>14</v>
      </c>
      <c r="D22" t="s">
        <v>11</v>
      </c>
      <c r="E22" s="5">
        <v>23</v>
      </c>
      <c r="F22" s="2">
        <f ca="1">IF(C22="In Progress", NOW(), IF(G22&lt;NOW(), NOW(), G22))</f>
        <v>41739</v>
      </c>
      <c r="G22" s="2">
        <f>H22-E22</f>
        <v>41739</v>
      </c>
      <c r="H22" s="2">
        <f>IF(D22=Dates!$A$2, Dates!$B$2, IF(D22=Dates!$A$3, Dates!$B$3, IF(D22=Dates!$A$4, Dates!$B$4, IF(D22=Dates!$A$5, Dates!$B$5,Dates!$B$5))))</f>
        <v>41762</v>
      </c>
      <c r="I22" s="2">
        <f ca="1">F22+E22</f>
        <v>41762</v>
      </c>
      <c r="J22" s="4">
        <f ca="1">H22-I22</f>
        <v>0</v>
      </c>
    </row>
    <row r="23" spans="1:10">
      <c r="A23" t="s">
        <v>50</v>
      </c>
      <c r="B23" t="s">
        <v>49</v>
      </c>
      <c r="C23" t="s">
        <v>3</v>
      </c>
      <c r="D23" t="s">
        <v>11</v>
      </c>
      <c r="E23" s="5">
        <v>8</v>
      </c>
      <c r="F23" s="2">
        <f ca="1">IF(C23="In Progress", NOW(), IF(G23&lt;NOW(), NOW(), G23))</f>
        <v>41754</v>
      </c>
      <c r="G23" s="2">
        <f>H23-E23</f>
        <v>41754</v>
      </c>
      <c r="H23" s="2">
        <f>IF(D23=Dates!$A$2, Dates!$B$2, IF(D23=Dates!$A$3, Dates!$B$3, IF(D23=Dates!$A$4, Dates!$B$4, IF(D23=Dates!$A$5, Dates!$B$5,Dates!$B$5))))</f>
        <v>41762</v>
      </c>
      <c r="I23" s="2">
        <f ca="1">F23+E23</f>
        <v>41762</v>
      </c>
      <c r="J23" s="4">
        <f ca="1">H23-I23</f>
        <v>0</v>
      </c>
    </row>
    <row r="24" spans="1:10">
      <c r="A24" t="s">
        <v>48</v>
      </c>
      <c r="B24" t="s">
        <v>47</v>
      </c>
      <c r="C24" t="s">
        <v>14</v>
      </c>
      <c r="D24" t="s">
        <v>11</v>
      </c>
      <c r="E24" s="5">
        <v>23</v>
      </c>
      <c r="F24" s="2">
        <f ca="1">IF(C24="In Progress", NOW(), IF(G24&lt;NOW(), NOW(), G24))</f>
        <v>41739</v>
      </c>
      <c r="G24" s="2">
        <f>H24-E24</f>
        <v>41739</v>
      </c>
      <c r="H24" s="2">
        <f>IF(D24=Dates!$A$2, Dates!$B$2, IF(D24=Dates!$A$3, Dates!$B$3, IF(D24=Dates!$A$4, Dates!$B$4, IF(D24=Dates!$A$5, Dates!$B$5,Dates!$B$5))))</f>
        <v>41762</v>
      </c>
      <c r="I24" s="2">
        <f ca="1">F24+E24</f>
        <v>41762</v>
      </c>
      <c r="J24" s="4">
        <f ca="1">H24-I24</f>
        <v>0</v>
      </c>
    </row>
    <row r="25" spans="1:10">
      <c r="A25" t="s">
        <v>46</v>
      </c>
      <c r="B25" t="s">
        <v>45</v>
      </c>
      <c r="C25" t="s">
        <v>3</v>
      </c>
      <c r="D25" t="s">
        <v>11</v>
      </c>
      <c r="E25" s="5">
        <v>8</v>
      </c>
      <c r="F25" s="2">
        <f ca="1">IF(C25="In Progress", NOW(), IF(G25&lt;NOW(), NOW(), G25))</f>
        <v>41754</v>
      </c>
      <c r="G25" s="2">
        <f>H25-E25</f>
        <v>41754</v>
      </c>
      <c r="H25" s="2">
        <f>IF(D25=Dates!$A$2, Dates!$B$2, IF(D25=Dates!$A$3, Dates!$B$3, IF(D25=Dates!$A$4, Dates!$B$4, IF(D25=Dates!$A$5, Dates!$B$5,Dates!$B$5))))</f>
        <v>41762</v>
      </c>
      <c r="I25" s="2">
        <f ca="1">F25+E25</f>
        <v>41762</v>
      </c>
      <c r="J25" s="4">
        <f ca="1">H25-I25</f>
        <v>0</v>
      </c>
    </row>
    <row r="26" spans="1:10">
      <c r="A26" t="s">
        <v>44</v>
      </c>
      <c r="B26" t="s">
        <v>43</v>
      </c>
      <c r="C26" t="s">
        <v>3</v>
      </c>
      <c r="D26" t="s">
        <v>4</v>
      </c>
      <c r="E26" s="5">
        <v>0</v>
      </c>
      <c r="F26" s="2">
        <f ca="1">IF(C26="In Progress", NOW(), IF(G26&lt;NOW(), NOW(), G26))</f>
        <v>41613</v>
      </c>
      <c r="G26" s="2">
        <f>H26-E26</f>
        <v>41613</v>
      </c>
      <c r="H26" s="2">
        <f>IF(D26=Dates!$A$2, Dates!$B$2, IF(D26=Dates!$A$3, Dates!$B$3, IF(D26=Dates!$A$4, Dates!$B$4, IF(D26=Dates!$A$5, Dates!$B$5,Dates!$B$5))))</f>
        <v>41613</v>
      </c>
      <c r="I26" s="2">
        <f ca="1">F26+E26</f>
        <v>41613</v>
      </c>
      <c r="J26" s="4">
        <f ca="1">H26-I26</f>
        <v>0</v>
      </c>
    </row>
    <row r="27" spans="1:10">
      <c r="A27" t="s">
        <v>42</v>
      </c>
      <c r="B27" t="s">
        <v>41</v>
      </c>
      <c r="C27" t="s">
        <v>3</v>
      </c>
      <c r="D27" t="s">
        <v>11</v>
      </c>
      <c r="E27" s="5">
        <v>23</v>
      </c>
      <c r="F27" s="2">
        <f ca="1">IF(C27="In Progress", NOW(), IF(G27&lt;NOW(), NOW(), G27))</f>
        <v>41739</v>
      </c>
      <c r="G27" s="2">
        <f>H27-E27</f>
        <v>41739</v>
      </c>
      <c r="H27" s="2">
        <f>IF(D27=Dates!$A$2, Dates!$B$2, IF(D27=Dates!$A$3, Dates!$B$3, IF(D27=Dates!$A$4, Dates!$B$4, IF(D27=Dates!$A$5, Dates!$B$5,Dates!$B$5))))</f>
        <v>41762</v>
      </c>
      <c r="I27" s="2">
        <f ca="1">F27+E27</f>
        <v>41762</v>
      </c>
      <c r="J27" s="4">
        <f ca="1">H27-I27</f>
        <v>0</v>
      </c>
    </row>
    <row r="28" spans="1:10">
      <c r="A28" t="s">
        <v>40</v>
      </c>
      <c r="B28" t="s">
        <v>39</v>
      </c>
      <c r="C28" t="s">
        <v>3</v>
      </c>
      <c r="D28" t="s">
        <v>4</v>
      </c>
      <c r="E28" s="5">
        <v>0</v>
      </c>
      <c r="F28" s="2">
        <f ca="1">IF(C28="In Progress", NOW(), IF(G28&lt;NOW(), NOW(), G28))</f>
        <v>41613</v>
      </c>
      <c r="G28" s="2">
        <f>H28-E28</f>
        <v>41613</v>
      </c>
      <c r="H28" s="2">
        <f>IF(D28=Dates!$A$2, Dates!$B$2, IF(D28=Dates!$A$3, Dates!$B$3, IF(D28=Dates!$A$4, Dates!$B$4, IF(D28=Dates!$A$5, Dates!$B$5,Dates!$B$5))))</f>
        <v>41613</v>
      </c>
      <c r="I28" s="2">
        <f ca="1">F28+E28</f>
        <v>41613</v>
      </c>
      <c r="J28" s="4">
        <f ca="1">H28-I28</f>
        <v>0</v>
      </c>
    </row>
    <row r="29" spans="1:10">
      <c r="A29" t="s">
        <v>38</v>
      </c>
      <c r="B29" t="s">
        <v>37</v>
      </c>
      <c r="C29" t="s">
        <v>3</v>
      </c>
      <c r="D29" t="s">
        <v>4</v>
      </c>
      <c r="E29" s="5">
        <v>15</v>
      </c>
      <c r="F29" s="2">
        <f ca="1">IF(C29="In Progress", NOW(), IF(G29&lt;NOW(), NOW(), G29))</f>
        <v>41598</v>
      </c>
      <c r="G29" s="2">
        <f>H29-E29</f>
        <v>41598</v>
      </c>
      <c r="H29" s="2">
        <f>IF(D29=Dates!$A$2, Dates!$B$2, IF(D29=Dates!$A$3, Dates!$B$3, IF(D29=Dates!$A$4, Dates!$B$4, IF(D29=Dates!$A$5, Dates!$B$5,Dates!$B$5))))</f>
        <v>41613</v>
      </c>
      <c r="I29" s="2">
        <f ca="1">F29+E29</f>
        <v>41613</v>
      </c>
      <c r="J29" s="4">
        <f ca="1">H29-I29</f>
        <v>0</v>
      </c>
    </row>
    <row r="30" spans="1:10">
      <c r="A30" t="s">
        <v>36</v>
      </c>
      <c r="B30" t="s">
        <v>35</v>
      </c>
      <c r="C30" t="s">
        <v>3</v>
      </c>
      <c r="D30" t="s">
        <v>11</v>
      </c>
      <c r="E30" s="5">
        <v>0</v>
      </c>
      <c r="F30" s="2">
        <f ca="1">IF(C30="In Progress", NOW(), IF(G30&lt;NOW(), NOW(), G30))</f>
        <v>41762</v>
      </c>
      <c r="G30" s="2">
        <f>H30-E30</f>
        <v>41762</v>
      </c>
      <c r="H30" s="2">
        <f>IF(D30=Dates!$A$2, Dates!$B$2, IF(D30=Dates!$A$3, Dates!$B$3, IF(D30=Dates!$A$4, Dates!$B$4, IF(D30=Dates!$A$5, Dates!$B$5,Dates!$B$5))))</f>
        <v>41762</v>
      </c>
      <c r="I30" s="2">
        <f ca="1">F30+E30</f>
        <v>41762</v>
      </c>
      <c r="J30" s="4">
        <f ca="1">H30-I30</f>
        <v>0</v>
      </c>
    </row>
    <row r="31" spans="1:10">
      <c r="A31" t="s">
        <v>34</v>
      </c>
      <c r="B31" t="s">
        <v>33</v>
      </c>
      <c r="C31" t="s">
        <v>3</v>
      </c>
      <c r="D31" t="s">
        <v>4</v>
      </c>
      <c r="E31" s="5">
        <v>0</v>
      </c>
      <c r="F31" s="2">
        <f ca="1">IF(C31="In Progress", NOW(), IF(G31&lt;NOW(), NOW(), G31))</f>
        <v>41613</v>
      </c>
      <c r="G31" s="2">
        <f>H31-E31</f>
        <v>41613</v>
      </c>
      <c r="H31" s="2">
        <f>IF(D31=Dates!$A$2, Dates!$B$2, IF(D31=Dates!$A$3, Dates!$B$3, IF(D31=Dates!$A$4, Dates!$B$4, IF(D31=Dates!$A$5, Dates!$B$5,Dates!$B$5))))</f>
        <v>41613</v>
      </c>
      <c r="I31" s="2">
        <f ca="1">F31+E31</f>
        <v>41613</v>
      </c>
      <c r="J31" s="4">
        <f ca="1">H31-I31</f>
        <v>0</v>
      </c>
    </row>
    <row r="32" spans="1:10">
      <c r="A32" t="s">
        <v>32</v>
      </c>
      <c r="B32" t="s">
        <v>31</v>
      </c>
      <c r="C32" t="s">
        <v>14</v>
      </c>
      <c r="D32" t="s">
        <v>4</v>
      </c>
      <c r="E32" s="5">
        <v>8</v>
      </c>
      <c r="F32" s="2">
        <f ca="1">IF(C32="In Progress", NOW(), IF(G32&lt;NOW(), NOW(), G32))</f>
        <v>41605</v>
      </c>
      <c r="G32" s="2">
        <f>H32-E32</f>
        <v>41605</v>
      </c>
      <c r="H32" s="2">
        <f>IF(D32=Dates!$A$2, Dates!$B$2, IF(D32=Dates!$A$3, Dates!$B$3, IF(D32=Dates!$A$4, Dates!$B$4, IF(D32=Dates!$A$5, Dates!$B$5,Dates!$B$5))))</f>
        <v>41613</v>
      </c>
      <c r="I32" s="2">
        <f ca="1">F32+E32</f>
        <v>41613</v>
      </c>
      <c r="J32" s="4">
        <f ca="1">H32-I32</f>
        <v>0</v>
      </c>
    </row>
    <row r="33" spans="1:10">
      <c r="A33" t="s">
        <v>30</v>
      </c>
      <c r="B33" t="s">
        <v>29</v>
      </c>
      <c r="C33" t="s">
        <v>8</v>
      </c>
      <c r="D33" t="s">
        <v>4</v>
      </c>
      <c r="E33" s="5">
        <v>61</v>
      </c>
      <c r="F33" s="2">
        <f ca="1">IF(C33="In Progress", NOW(), IF(G33&lt;NOW(), NOW(), G33))</f>
        <v>41550.484918981485</v>
      </c>
      <c r="G33" s="2">
        <f>H33-E33</f>
        <v>41552</v>
      </c>
      <c r="H33" s="2">
        <f>IF(D33=Dates!$A$2, Dates!$B$2, IF(D33=Dates!$A$3, Dates!$B$3, IF(D33=Dates!$A$4, Dates!$B$4, IF(D33=Dates!$A$5, Dates!$B$5,Dates!$B$5))))</f>
        <v>41613</v>
      </c>
      <c r="I33" s="2">
        <f ca="1">F33+E33</f>
        <v>41611.484918981485</v>
      </c>
      <c r="J33" s="4">
        <f ca="1">H33-I33</f>
        <v>1.5150810185150476</v>
      </c>
    </row>
    <row r="34" spans="1:10">
      <c r="A34" t="s">
        <v>28</v>
      </c>
      <c r="B34" t="s">
        <v>27</v>
      </c>
      <c r="C34" t="s">
        <v>8</v>
      </c>
      <c r="D34" t="s">
        <v>4</v>
      </c>
      <c r="E34" s="5">
        <v>43</v>
      </c>
      <c r="F34" s="2">
        <f ca="1">IF(C34="In Progress", NOW(), IF(G34&lt;NOW(), NOW(), G34))</f>
        <v>41550.484918981485</v>
      </c>
      <c r="G34" s="2">
        <f>H34-E34</f>
        <v>41570</v>
      </c>
      <c r="H34" s="2">
        <f>IF(D34=Dates!$A$2, Dates!$B$2, IF(D34=Dates!$A$3, Dates!$B$3, IF(D34=Dates!$A$4, Dates!$B$4, IF(D34=Dates!$A$5, Dates!$B$5,Dates!$B$5))))</f>
        <v>41613</v>
      </c>
      <c r="I34" s="2">
        <f ca="1">F34+E34</f>
        <v>41593.484918981485</v>
      </c>
      <c r="J34" s="4">
        <f ca="1">H34-I34</f>
        <v>19.515081018515048</v>
      </c>
    </row>
    <row r="35" spans="1:10">
      <c r="A35" t="s">
        <v>26</v>
      </c>
      <c r="B35" t="s">
        <v>25</v>
      </c>
      <c r="C35" t="s">
        <v>14</v>
      </c>
      <c r="D35" t="s">
        <v>11</v>
      </c>
      <c r="E35" s="5">
        <v>0</v>
      </c>
      <c r="F35" s="2">
        <f ca="1">IF(C35="In Progress", NOW(), IF(G35&lt;NOW(), NOW(), G35))</f>
        <v>41762</v>
      </c>
      <c r="G35" s="2">
        <f>H35-E35</f>
        <v>41762</v>
      </c>
      <c r="H35" s="2">
        <f>IF(D35=Dates!$A$2, Dates!$B$2, IF(D35=Dates!$A$3, Dates!$B$3, IF(D35=Dates!$A$4, Dates!$B$4, IF(D35=Dates!$A$5, Dates!$B$5,Dates!$B$5))))</f>
        <v>41762</v>
      </c>
      <c r="I35" s="2">
        <f ca="1">F35+E35</f>
        <v>41762</v>
      </c>
      <c r="J35" s="4">
        <f ca="1">H35-I35</f>
        <v>0</v>
      </c>
    </row>
    <row r="36" spans="1:10">
      <c r="A36" t="s">
        <v>24</v>
      </c>
      <c r="B36" t="s">
        <v>23</v>
      </c>
      <c r="C36" t="s">
        <v>8</v>
      </c>
      <c r="D36" t="s">
        <v>9</v>
      </c>
      <c r="E36" s="5">
        <v>32</v>
      </c>
      <c r="F36" s="2">
        <f ca="1">IF(C36="In Progress", NOW(), IF(G36&lt;NOW(), NOW(), G36))</f>
        <v>41550.484918981485</v>
      </c>
      <c r="G36" s="2">
        <f>H36-E36</f>
        <v>41545</v>
      </c>
      <c r="H36" s="2">
        <f>IF(D36=Dates!$A$2, Dates!$B$2, IF(D36=Dates!$A$3, Dates!$B$3, IF(D36=Dates!$A$4, Dates!$B$4, IF(D36=Dates!$A$5, Dates!$B$5,Dates!$B$5))))</f>
        <v>41577</v>
      </c>
      <c r="I36" s="2">
        <f ca="1">F36+E36</f>
        <v>41582.484918981485</v>
      </c>
      <c r="J36" s="4">
        <f ca="1">H36-I36</f>
        <v>-5.4849189814849524</v>
      </c>
    </row>
    <row r="37" spans="1:10">
      <c r="A37" t="s">
        <v>22</v>
      </c>
      <c r="B37" t="s">
        <v>20</v>
      </c>
      <c r="C37" t="s">
        <v>3</v>
      </c>
      <c r="D37" t="s">
        <v>21</v>
      </c>
      <c r="E37" s="5">
        <v>23</v>
      </c>
      <c r="F37" s="2">
        <f ca="1">IF(C37="In Progress", NOW(), IF(G37&lt;NOW(), NOW(), G37))</f>
        <v>41739</v>
      </c>
      <c r="G37" s="2">
        <f>H37-E37</f>
        <v>41739</v>
      </c>
      <c r="H37" s="2">
        <f>IF(D37=Dates!$A$2, Dates!$B$2, IF(D37=Dates!$A$3, Dates!$B$3, IF(D37=Dates!$A$4, Dates!$B$4, IF(D37=Dates!$A$5, Dates!$B$5,Dates!$B$5))))</f>
        <v>41762</v>
      </c>
      <c r="I37" s="2">
        <f ca="1">F37+E37</f>
        <v>41762</v>
      </c>
      <c r="J37" s="4">
        <f ca="1">H37-I37</f>
        <v>0</v>
      </c>
    </row>
    <row r="38" spans="1:10">
      <c r="A38" t="s">
        <v>19</v>
      </c>
      <c r="B38" t="s">
        <v>18</v>
      </c>
      <c r="C38" t="s">
        <v>14</v>
      </c>
      <c r="D38" t="s">
        <v>4</v>
      </c>
      <c r="E38" s="5">
        <v>0</v>
      </c>
      <c r="F38" s="2">
        <f ca="1">IF(C38="In Progress", NOW(), IF(G38&lt;NOW(), NOW(), G38))</f>
        <v>41613</v>
      </c>
      <c r="G38" s="2">
        <f>H38-E38</f>
        <v>41613</v>
      </c>
      <c r="H38" s="2">
        <f>IF(D38=Dates!$A$2, Dates!$B$2, IF(D38=Dates!$A$3, Dates!$B$3, IF(D38=Dates!$A$4, Dates!$B$4, IF(D38=Dates!$A$5, Dates!$B$5,Dates!$B$5))))</f>
        <v>41613</v>
      </c>
      <c r="I38" s="2">
        <f ca="1">F38+E38</f>
        <v>41613</v>
      </c>
      <c r="J38" s="4">
        <f ca="1">H38-I38</f>
        <v>0</v>
      </c>
    </row>
    <row r="39" spans="1:10">
      <c r="A39" t="s">
        <v>17</v>
      </c>
      <c r="B39" t="s">
        <v>16</v>
      </c>
      <c r="C39" t="s">
        <v>14</v>
      </c>
      <c r="D39" t="s">
        <v>4</v>
      </c>
      <c r="E39" s="5">
        <v>0</v>
      </c>
      <c r="F39" s="2">
        <f ca="1">IF(C39="In Progress", NOW(), IF(G39&lt;NOW(), NOW(), G39))</f>
        <v>41613</v>
      </c>
      <c r="G39" s="2">
        <f>H39-E39</f>
        <v>41613</v>
      </c>
      <c r="H39" s="2">
        <f>IF(D39=Dates!$A$2, Dates!$B$2, IF(D39=Dates!$A$3, Dates!$B$3, IF(D39=Dates!$A$4, Dates!$B$4, IF(D39=Dates!$A$5, Dates!$B$5,Dates!$B$5))))</f>
        <v>41613</v>
      </c>
      <c r="I39" s="2">
        <f ca="1">F39+E39</f>
        <v>41613</v>
      </c>
      <c r="J39" s="4">
        <f ca="1">H39-I39</f>
        <v>0</v>
      </c>
    </row>
    <row r="40" spans="1:10">
      <c r="A40" t="s">
        <v>15</v>
      </c>
      <c r="B40" t="s">
        <v>13</v>
      </c>
      <c r="C40" t="s">
        <v>14</v>
      </c>
      <c r="D40" t="s">
        <v>11</v>
      </c>
      <c r="E40" s="5">
        <v>0</v>
      </c>
      <c r="F40" s="2">
        <f ca="1">IF(C40="In Progress", NOW(), IF(G40&lt;NOW(), NOW(), G40))</f>
        <v>41762</v>
      </c>
      <c r="G40" s="2">
        <f>H40-E40</f>
        <v>41762</v>
      </c>
      <c r="H40" s="2">
        <f>IF(D40=Dates!$A$2, Dates!$B$2, IF(D40=Dates!$A$3, Dates!$B$3, IF(D40=Dates!$A$4, Dates!$B$4, IF(D40=Dates!$A$5, Dates!$B$5,Dates!$B$5))))</f>
        <v>41762</v>
      </c>
      <c r="I40" s="2">
        <f ca="1">F40+E40</f>
        <v>41762</v>
      </c>
      <c r="J40" s="4">
        <f ca="1">H40-I40</f>
        <v>0</v>
      </c>
    </row>
    <row r="41" spans="1:10">
      <c r="A41" t="s">
        <v>12</v>
      </c>
      <c r="B41" t="s">
        <v>10</v>
      </c>
      <c r="C41" t="s">
        <v>3</v>
      </c>
      <c r="D41" t="s">
        <v>11</v>
      </c>
      <c r="E41" s="5">
        <v>0</v>
      </c>
      <c r="F41" s="2">
        <f ca="1">IF(C41="In Progress", NOW(), IF(G41&lt;NOW(), NOW(), G41))</f>
        <v>41762</v>
      </c>
      <c r="G41" s="2">
        <f>H41-E41</f>
        <v>41762</v>
      </c>
      <c r="H41" s="2">
        <f>IF(D41=Dates!$A$2, Dates!$B$2, IF(D41=Dates!$A$3, Dates!$B$3, IF(D41=Dates!$A$4, Dates!$B$4, IF(D41=Dates!$A$5, Dates!$B$5,Dates!$B$5))))</f>
        <v>41762</v>
      </c>
      <c r="I41" s="2">
        <f ca="1">F41+E41</f>
        <v>41762</v>
      </c>
      <c r="J41" s="4">
        <f ca="1">H41-I41</f>
        <v>0</v>
      </c>
    </row>
    <row r="42" spans="1:10">
      <c r="A42" t="s">
        <v>7</v>
      </c>
      <c r="B42" t="s">
        <v>6</v>
      </c>
      <c r="C42" t="s">
        <v>3</v>
      </c>
      <c r="D42" t="s">
        <v>4</v>
      </c>
      <c r="E42" s="5">
        <v>8</v>
      </c>
      <c r="F42" s="2">
        <f ca="1">IF(C42="In Progress", NOW(), IF(G42&lt;NOW(), NOW(), G42))</f>
        <v>41605</v>
      </c>
      <c r="G42" s="2">
        <f>H42-E42</f>
        <v>41605</v>
      </c>
      <c r="H42" s="2">
        <f>IF(D42=Dates!$A$2, Dates!$B$2, IF(D42=Dates!$A$3, Dates!$B$3, IF(D42=Dates!$A$4, Dates!$B$4, IF(D42=Dates!$A$5, Dates!$B$5,Dates!$B$5))))</f>
        <v>41613</v>
      </c>
      <c r="I42" s="2">
        <f ca="1">F42+E42</f>
        <v>41613</v>
      </c>
      <c r="J42" s="4">
        <f ca="1">H42-I42</f>
        <v>0</v>
      </c>
    </row>
    <row r="43" spans="1:10">
      <c r="A43" t="s">
        <v>5</v>
      </c>
      <c r="B43" t="s">
        <v>2</v>
      </c>
      <c r="C43" t="s">
        <v>3</v>
      </c>
      <c r="D43" t="s">
        <v>4</v>
      </c>
      <c r="E43" s="5">
        <v>15</v>
      </c>
      <c r="F43" s="2">
        <f ca="1">IF(C43="In Progress", NOW(), IF(G43&lt;NOW(), NOW(), G43))</f>
        <v>41598</v>
      </c>
      <c r="G43" s="2">
        <f>H43-E43</f>
        <v>41598</v>
      </c>
      <c r="H43" s="2">
        <f>IF(D43=Dates!$A$2, Dates!$B$2, IF(D43=Dates!$A$3, Dates!$B$3, IF(D43=Dates!$A$4, Dates!$B$4, IF(D43=Dates!$A$5, Dates!$B$5,Dates!$B$5))))</f>
        <v>41613</v>
      </c>
      <c r="I43" s="2">
        <f ca="1">F43+E43</f>
        <v>41613</v>
      </c>
      <c r="J43" s="4">
        <f ca="1">H43-I43</f>
        <v>0</v>
      </c>
    </row>
    <row r="44" spans="1:10">
      <c r="A44" t="s">
        <v>112</v>
      </c>
      <c r="B44" t="s">
        <v>110</v>
      </c>
      <c r="C44" t="s">
        <v>8</v>
      </c>
      <c r="D44" t="s">
        <v>111</v>
      </c>
      <c r="E44" s="5">
        <v>55</v>
      </c>
      <c r="F44" s="2">
        <f ca="1">IF(C44="In Progress", NOW(), IF(G44&lt;NOW(), NOW(), G44))</f>
        <v>41550.484918981485</v>
      </c>
      <c r="G44" s="2">
        <f>H44-E44</f>
        <v>41574</v>
      </c>
      <c r="H44" s="2">
        <f>IF(D44=Dates!$A$2, Dates!$B$2, IF(D44=Dates!$A$3, Dates!$B$3, IF(D44=Dates!$A$4, Dates!$B$4, IF(D44=Dates!$A$5, Dates!$B$5,Dates!$B$5))))</f>
        <v>41629</v>
      </c>
      <c r="I44" s="2">
        <f ca="1">F44+E44</f>
        <v>41605.484918981485</v>
      </c>
      <c r="J44" s="4">
        <f ca="1">H44-I44</f>
        <v>23.515081018515048</v>
      </c>
    </row>
    <row r="45" spans="1:10">
      <c r="A45" t="s">
        <v>109</v>
      </c>
      <c r="B45" t="s">
        <v>108</v>
      </c>
      <c r="C45" t="s">
        <v>14</v>
      </c>
      <c r="D45" t="s">
        <v>11</v>
      </c>
      <c r="E45" s="5">
        <v>53</v>
      </c>
      <c r="F45" s="2">
        <f ca="1">IF(C45="In Progress", NOW(), IF(G45&lt;NOW(), NOW(), G45))</f>
        <v>41709</v>
      </c>
      <c r="G45" s="2">
        <f>H45-E45</f>
        <v>41709</v>
      </c>
      <c r="H45" s="2">
        <f>IF(D45=Dates!$A$2, Dates!$B$2, IF(D45=Dates!$A$3, Dates!$B$3, IF(D45=Dates!$A$4, Dates!$B$4, IF(D45=Dates!$A$5, Dates!$B$5,Dates!$B$5))))</f>
        <v>41762</v>
      </c>
      <c r="I45" s="2">
        <f ca="1">F45+E45</f>
        <v>41762</v>
      </c>
      <c r="J45" s="4">
        <f ca="1">H45-I45</f>
        <v>0</v>
      </c>
    </row>
    <row r="46" spans="1:10">
      <c r="A46" t="s">
        <v>107</v>
      </c>
      <c r="B46" t="s">
        <v>106</v>
      </c>
      <c r="C46" t="s">
        <v>3</v>
      </c>
      <c r="D46" t="s">
        <v>4</v>
      </c>
      <c r="E46" s="5">
        <v>23</v>
      </c>
      <c r="F46" s="2">
        <f ca="1">IF(C46="In Progress", NOW(), IF(G46&lt;NOW(), NOW(), G46))</f>
        <v>41590</v>
      </c>
      <c r="G46" s="2">
        <f>H46-E46</f>
        <v>41590</v>
      </c>
      <c r="H46" s="2">
        <f>IF(D46=Dates!$A$2, Dates!$B$2, IF(D46=Dates!$A$3, Dates!$B$3, IF(D46=Dates!$A$4, Dates!$B$4, IF(D46=Dates!$A$5, Dates!$B$5,Dates!$B$5))))</f>
        <v>41613</v>
      </c>
      <c r="I46" s="2">
        <f ca="1">F46+E46</f>
        <v>41613</v>
      </c>
      <c r="J46" s="4">
        <f ca="1">H46-I46</f>
        <v>0</v>
      </c>
    </row>
    <row r="47" spans="1:10">
      <c r="A47" t="s">
        <v>105</v>
      </c>
      <c r="B47" t="s">
        <v>104</v>
      </c>
      <c r="C47" t="s">
        <v>14</v>
      </c>
      <c r="D47" t="s">
        <v>4</v>
      </c>
      <c r="E47" s="5">
        <v>15</v>
      </c>
      <c r="F47" s="2">
        <f ca="1">IF(C47="In Progress", NOW(), IF(G47&lt;NOW(), NOW(), G47))</f>
        <v>41598</v>
      </c>
      <c r="G47" s="2">
        <f>H47-E47</f>
        <v>41598</v>
      </c>
      <c r="H47" s="2">
        <f>IF(D47=Dates!$A$2, Dates!$B$2, IF(D47=Dates!$A$3, Dates!$B$3, IF(D47=Dates!$A$4, Dates!$B$4, IF(D47=Dates!$A$5, Dates!$B$5,Dates!$B$5))))</f>
        <v>41613</v>
      </c>
      <c r="I47" s="2">
        <f ca="1">F47+E47</f>
        <v>41613</v>
      </c>
      <c r="J47" s="4">
        <f ca="1">H47-I47</f>
        <v>0</v>
      </c>
    </row>
    <row r="48" spans="1:10">
      <c r="A48" t="s">
        <v>103</v>
      </c>
      <c r="B48" t="s">
        <v>102</v>
      </c>
      <c r="C48" t="s">
        <v>14</v>
      </c>
      <c r="D48" t="s">
        <v>4</v>
      </c>
      <c r="E48" s="5">
        <v>15</v>
      </c>
      <c r="F48" s="2">
        <f ca="1">IF(C48="In Progress", NOW(), IF(G48&lt;NOW(), NOW(), G48))</f>
        <v>41598</v>
      </c>
      <c r="G48" s="2">
        <f>H48-E48</f>
        <v>41598</v>
      </c>
      <c r="H48" s="2">
        <f>IF(D48=Dates!$A$2, Dates!$B$2, IF(D48=Dates!$A$3, Dates!$B$3, IF(D48=Dates!$A$4, Dates!$B$4, IF(D48=Dates!$A$5, Dates!$B$5,Dates!$B$5))))</f>
        <v>41613</v>
      </c>
      <c r="I48" s="2">
        <f ca="1">F48+E48</f>
        <v>41613</v>
      </c>
      <c r="J48" s="4">
        <f ca="1">H48-I48</f>
        <v>0</v>
      </c>
    </row>
    <row r="49" spans="1:10">
      <c r="A49" t="s">
        <v>101</v>
      </c>
      <c r="B49" t="s">
        <v>100</v>
      </c>
      <c r="C49" t="s">
        <v>8</v>
      </c>
      <c r="D49" t="s">
        <v>21</v>
      </c>
      <c r="E49" s="5">
        <v>46</v>
      </c>
      <c r="F49" s="2">
        <f ca="1">IF(C49="In Progress", NOW(), IF(G49&lt;NOW(), NOW(), G49))</f>
        <v>41550.484918981485</v>
      </c>
      <c r="G49" s="2">
        <f>H49-E49</f>
        <v>41716</v>
      </c>
      <c r="H49" s="2">
        <f>IF(D49=Dates!$A$2, Dates!$B$2, IF(D49=Dates!$A$3, Dates!$B$3, IF(D49=Dates!$A$4, Dates!$B$4, IF(D49=Dates!$A$5, Dates!$B$5,Dates!$B$5))))</f>
        <v>41762</v>
      </c>
      <c r="I49" s="2">
        <f ca="1">F49+E49</f>
        <v>41596.484918981485</v>
      </c>
      <c r="J49" s="4">
        <f ca="1">H49-I49</f>
        <v>165.51508101851505</v>
      </c>
    </row>
    <row r="50" spans="1:10">
      <c r="A50" t="s">
        <v>99</v>
      </c>
      <c r="B50" t="s">
        <v>98</v>
      </c>
      <c r="C50" t="s">
        <v>8</v>
      </c>
      <c r="D50" t="s">
        <v>9</v>
      </c>
      <c r="E50" s="5">
        <v>2</v>
      </c>
      <c r="F50" s="2">
        <f ca="1">IF(C50="In Progress", NOW(), IF(G50&lt;NOW(), NOW(), G50))</f>
        <v>41550.484918981485</v>
      </c>
      <c r="G50" s="2">
        <f>H50-E50</f>
        <v>41575</v>
      </c>
      <c r="H50" s="2">
        <f>IF(D50=Dates!$A$2, Dates!$B$2, IF(D50=Dates!$A$3, Dates!$B$3, IF(D50=Dates!$A$4, Dates!$B$4, IF(D50=Dates!$A$5, Dates!$B$5,Dates!$B$5))))</f>
        <v>41577</v>
      </c>
      <c r="I50" s="2">
        <f ca="1">F50+E50</f>
        <v>41552.484918981485</v>
      </c>
      <c r="J50" s="4">
        <f ca="1">H50-I50</f>
        <v>24.515081018515048</v>
      </c>
    </row>
    <row r="51" spans="1:10">
      <c r="A51" t="s">
        <v>97</v>
      </c>
      <c r="B51" t="s">
        <v>96</v>
      </c>
      <c r="C51" t="s">
        <v>3</v>
      </c>
      <c r="D51" t="s">
        <v>11</v>
      </c>
      <c r="E51" s="5">
        <v>15</v>
      </c>
      <c r="F51" s="2">
        <f ca="1">IF(C51="In Progress", NOW(), IF(G51&lt;NOW(), NOW(), G51))</f>
        <v>41747</v>
      </c>
      <c r="G51" s="2">
        <f>H51-E51</f>
        <v>41747</v>
      </c>
      <c r="H51" s="2">
        <f>IF(D51=Dates!$A$2, Dates!$B$2, IF(D51=Dates!$A$3, Dates!$B$3, IF(D51=Dates!$A$4, Dates!$B$4, IF(D51=Dates!$A$5, Dates!$B$5,Dates!$B$5))))</f>
        <v>41762</v>
      </c>
      <c r="I51" s="2">
        <f ca="1">F51+E51</f>
        <v>41762</v>
      </c>
      <c r="J51" s="4">
        <f ca="1">H51-I51</f>
        <v>0</v>
      </c>
    </row>
    <row r="52" spans="1:10">
      <c r="A52" t="s">
        <v>95</v>
      </c>
      <c r="B52" t="s">
        <v>94</v>
      </c>
      <c r="C52" t="s">
        <v>3</v>
      </c>
      <c r="D52" t="s">
        <v>11</v>
      </c>
      <c r="E52" s="5">
        <v>0</v>
      </c>
      <c r="F52" s="2">
        <f ca="1">IF(C52="In Progress", NOW(), IF(G52&lt;NOW(), NOW(), G52))</f>
        <v>41762</v>
      </c>
      <c r="G52" s="2">
        <f>H52-E52</f>
        <v>41762</v>
      </c>
      <c r="H52" s="2">
        <f>IF(D52=Dates!$A$2, Dates!$B$2, IF(D52=Dates!$A$3, Dates!$B$3, IF(D52=Dates!$A$4, Dates!$B$4, IF(D52=Dates!$A$5, Dates!$B$5,Dates!$B$5))))</f>
        <v>41762</v>
      </c>
      <c r="I52" s="2">
        <f ca="1">F52+E52</f>
        <v>41762</v>
      </c>
      <c r="J52" s="4">
        <f ca="1">H52-I52</f>
        <v>0</v>
      </c>
    </row>
    <row r="56" spans="1:10">
      <c r="F56" s="2"/>
      <c r="G56" s="2"/>
      <c r="H56" s="2"/>
      <c r="I56" s="2"/>
      <c r="J56" s="4"/>
    </row>
  </sheetData>
  <sortState ref="A2:J53">
    <sortCondition ref="A2"/>
  </sortState>
  <conditionalFormatting sqref="J2:J52">
    <cfRule type="cellIs" dxfId="1" priority="2" operator="lessThan">
      <formula>0</formula>
    </cfRule>
  </conditionalFormatting>
  <conditionalFormatting sqref="J56">
    <cfRule type="cellIs" dxfId="0" priority="1" operator="lessThan">
      <formula>0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2"/>
  <sheetViews>
    <sheetView workbookViewId="0">
      <selection activeCell="G48" sqref="G48"/>
    </sheetView>
  </sheetViews>
  <sheetFormatPr baseColWidth="10" defaultRowHeight="15" x14ac:dyDescent="0"/>
  <sheetData>
    <row r="1" spans="1:6">
      <c r="A1" s="5"/>
      <c r="B1" s="5" t="s">
        <v>122</v>
      </c>
      <c r="C1" s="6">
        <v>41549</v>
      </c>
      <c r="D1" s="7" t="s">
        <v>114</v>
      </c>
      <c r="E1" s="6">
        <v>41550</v>
      </c>
      <c r="F1" s="7" t="s">
        <v>114</v>
      </c>
    </row>
    <row r="2" spans="1:6">
      <c r="A2" s="5" t="s">
        <v>93</v>
      </c>
      <c r="B2" s="5"/>
      <c r="C2" s="6">
        <v>41613</v>
      </c>
      <c r="D2" s="6"/>
      <c r="E2" s="6">
        <v>41613</v>
      </c>
    </row>
    <row r="3" spans="1:6">
      <c r="A3" s="5" t="s">
        <v>91</v>
      </c>
      <c r="B3" s="5"/>
      <c r="C3" s="6">
        <v>41762</v>
      </c>
      <c r="D3" s="6"/>
      <c r="E3" s="6">
        <v>41762</v>
      </c>
    </row>
    <row r="4" spans="1:6">
      <c r="A4" s="5" t="s">
        <v>89</v>
      </c>
      <c r="B4" s="5"/>
      <c r="C4" s="6">
        <v>41762</v>
      </c>
      <c r="D4" s="6"/>
      <c r="E4" s="6">
        <v>41762</v>
      </c>
    </row>
    <row r="5" spans="1:6">
      <c r="A5" s="5" t="s">
        <v>87</v>
      </c>
      <c r="B5" s="5"/>
      <c r="C5" s="6">
        <v>41613</v>
      </c>
      <c r="D5" s="6"/>
      <c r="E5" s="6">
        <v>41613</v>
      </c>
    </row>
    <row r="6" spans="1:6">
      <c r="A6" s="5" t="s">
        <v>85</v>
      </c>
      <c r="B6" s="5"/>
      <c r="C6" s="6">
        <v>41762</v>
      </c>
      <c r="D6" s="6"/>
      <c r="E6" s="6">
        <v>41762</v>
      </c>
    </row>
    <row r="7" spans="1:6">
      <c r="A7" s="5" t="s">
        <v>83</v>
      </c>
      <c r="B7" s="5"/>
      <c r="C7" s="6">
        <v>41613</v>
      </c>
      <c r="D7" s="6"/>
      <c r="E7" s="6">
        <v>41613</v>
      </c>
    </row>
    <row r="8" spans="1:6">
      <c r="A8" s="5" t="s">
        <v>81</v>
      </c>
      <c r="B8" s="5"/>
      <c r="C8" s="6">
        <v>41613</v>
      </c>
      <c r="D8" s="6"/>
      <c r="E8" s="6">
        <v>41613</v>
      </c>
    </row>
    <row r="9" spans="1:6">
      <c r="A9" s="5" t="s">
        <v>79</v>
      </c>
      <c r="B9" s="5"/>
      <c r="C9" s="6">
        <v>41762</v>
      </c>
      <c r="D9" s="6"/>
      <c r="E9" s="6">
        <v>41762</v>
      </c>
    </row>
    <row r="10" spans="1:6">
      <c r="A10" s="5" t="s">
        <v>77</v>
      </c>
      <c r="B10" s="5"/>
      <c r="C10" s="6">
        <v>41762</v>
      </c>
      <c r="D10" s="6"/>
      <c r="E10" s="6">
        <v>41762</v>
      </c>
    </row>
    <row r="11" spans="1:6">
      <c r="A11" s="5" t="s">
        <v>75</v>
      </c>
      <c r="B11" s="5"/>
      <c r="C11" s="6">
        <v>41551.481355787037</v>
      </c>
      <c r="D11" s="6"/>
      <c r="E11" s="6">
        <v>41551.482086458331</v>
      </c>
    </row>
    <row r="12" spans="1:6">
      <c r="A12" s="5" t="s">
        <v>73</v>
      </c>
      <c r="B12" s="5"/>
      <c r="C12" s="6">
        <v>41559.481355787037</v>
      </c>
      <c r="D12" s="6"/>
      <c r="E12" s="6">
        <v>41552.482086458331</v>
      </c>
    </row>
    <row r="13" spans="1:6">
      <c r="A13" s="5" t="s">
        <v>70</v>
      </c>
      <c r="B13" s="5"/>
      <c r="C13" s="6">
        <v>41613</v>
      </c>
      <c r="D13" s="6"/>
      <c r="E13" s="6">
        <v>41613</v>
      </c>
    </row>
    <row r="14" spans="1:6">
      <c r="A14" s="5" t="s">
        <v>68</v>
      </c>
      <c r="B14" s="5"/>
      <c r="C14" s="6">
        <v>41613</v>
      </c>
      <c r="D14" s="6"/>
      <c r="E14" s="6">
        <v>41613</v>
      </c>
    </row>
    <row r="15" spans="1:6">
      <c r="A15" s="5" t="s">
        <v>66</v>
      </c>
      <c r="B15" s="5"/>
      <c r="C15" s="6">
        <v>41762</v>
      </c>
      <c r="D15" s="6"/>
      <c r="E15" s="6">
        <v>41762</v>
      </c>
    </row>
    <row r="16" spans="1:6">
      <c r="A16" s="5" t="s">
        <v>64</v>
      </c>
      <c r="B16" s="5"/>
      <c r="C16" s="6">
        <v>41613</v>
      </c>
      <c r="D16" s="6"/>
      <c r="E16" s="6">
        <v>41613</v>
      </c>
    </row>
    <row r="17" spans="1:5">
      <c r="A17" s="5" t="s">
        <v>62</v>
      </c>
      <c r="B17" s="5"/>
      <c r="C17" s="6">
        <v>41762</v>
      </c>
      <c r="D17" s="6"/>
      <c r="E17" s="6">
        <v>41762</v>
      </c>
    </row>
    <row r="18" spans="1:5">
      <c r="A18" s="5" t="s">
        <v>60</v>
      </c>
      <c r="B18" s="5"/>
      <c r="C18" s="6">
        <v>41762</v>
      </c>
      <c r="D18" s="6"/>
      <c r="E18" s="6">
        <v>41762</v>
      </c>
    </row>
    <row r="19" spans="1:5">
      <c r="A19" s="5" t="s">
        <v>58</v>
      </c>
      <c r="B19" s="5"/>
      <c r="C19" s="6">
        <v>41762</v>
      </c>
      <c r="D19" s="6"/>
      <c r="E19" s="6">
        <v>41762</v>
      </c>
    </row>
    <row r="20" spans="1:5">
      <c r="A20" s="5" t="s">
        <v>56</v>
      </c>
      <c r="B20" s="5"/>
      <c r="C20" s="6">
        <v>41762</v>
      </c>
      <c r="D20" s="6"/>
      <c r="E20" s="6">
        <v>41762</v>
      </c>
    </row>
    <row r="21" spans="1:5">
      <c r="A21" s="5" t="s">
        <v>54</v>
      </c>
      <c r="B21" s="5"/>
      <c r="C21" s="6">
        <v>41762</v>
      </c>
      <c r="D21" s="6"/>
      <c r="E21" s="6">
        <v>41762</v>
      </c>
    </row>
    <row r="22" spans="1:5">
      <c r="A22" s="5" t="s">
        <v>52</v>
      </c>
      <c r="B22" s="5"/>
      <c r="C22" s="6">
        <v>41762</v>
      </c>
      <c r="D22" s="6"/>
      <c r="E22" s="6">
        <v>41762</v>
      </c>
    </row>
    <row r="23" spans="1:5">
      <c r="A23" s="5" t="s">
        <v>50</v>
      </c>
      <c r="B23" s="5"/>
      <c r="C23" s="6">
        <v>41762</v>
      </c>
      <c r="D23" s="6"/>
      <c r="E23" s="6">
        <v>41762</v>
      </c>
    </row>
    <row r="24" spans="1:5">
      <c r="A24" s="5" t="s">
        <v>48</v>
      </c>
      <c r="B24" s="5"/>
      <c r="C24" s="6">
        <v>41762</v>
      </c>
      <c r="D24" s="6"/>
      <c r="E24" s="6">
        <v>41762</v>
      </c>
    </row>
    <row r="25" spans="1:5">
      <c r="A25" s="5" t="s">
        <v>46</v>
      </c>
      <c r="B25" s="5"/>
      <c r="C25" s="6">
        <v>41762</v>
      </c>
      <c r="D25" s="6"/>
      <c r="E25" s="6">
        <v>41762</v>
      </c>
    </row>
    <row r="26" spans="1:5">
      <c r="A26" s="5" t="s">
        <v>44</v>
      </c>
      <c r="B26" s="5"/>
      <c r="C26" s="6">
        <v>41613</v>
      </c>
      <c r="D26" s="6"/>
      <c r="E26" s="6">
        <v>41613</v>
      </c>
    </row>
    <row r="27" spans="1:5">
      <c r="A27" s="5" t="s">
        <v>42</v>
      </c>
      <c r="B27" s="5"/>
      <c r="C27" s="6">
        <v>41762</v>
      </c>
      <c r="D27" s="6"/>
      <c r="E27" s="6">
        <v>41762</v>
      </c>
    </row>
    <row r="28" spans="1:5">
      <c r="A28" s="5" t="s">
        <v>40</v>
      </c>
      <c r="B28" s="5"/>
      <c r="C28" s="6">
        <v>41613</v>
      </c>
      <c r="D28" s="6"/>
      <c r="E28" s="6">
        <v>41613</v>
      </c>
    </row>
    <row r="29" spans="1:5">
      <c r="A29" s="5" t="s">
        <v>38</v>
      </c>
      <c r="B29" s="5"/>
      <c r="C29" s="6">
        <v>41613</v>
      </c>
      <c r="D29" s="6"/>
      <c r="E29" s="6">
        <v>41613</v>
      </c>
    </row>
    <row r="30" spans="1:5">
      <c r="A30" s="5" t="s">
        <v>36</v>
      </c>
      <c r="B30" s="5"/>
      <c r="C30" s="6">
        <v>41762</v>
      </c>
      <c r="D30" s="6"/>
      <c r="E30" s="6">
        <v>41762</v>
      </c>
    </row>
    <row r="31" spans="1:5">
      <c r="A31" s="5" t="s">
        <v>34</v>
      </c>
      <c r="B31" s="5"/>
      <c r="C31" s="6">
        <v>41613</v>
      </c>
      <c r="D31" s="6"/>
      <c r="E31" s="6">
        <v>41613</v>
      </c>
    </row>
    <row r="32" spans="1:5">
      <c r="A32" s="5" t="s">
        <v>32</v>
      </c>
      <c r="B32" s="5"/>
      <c r="C32" s="6">
        <v>41613</v>
      </c>
      <c r="D32" s="6"/>
      <c r="E32" s="6">
        <v>41613</v>
      </c>
    </row>
    <row r="33" spans="1:5">
      <c r="A33" s="5" t="s">
        <v>30</v>
      </c>
      <c r="B33" s="5"/>
      <c r="C33" s="6">
        <v>41609.481355787037</v>
      </c>
      <c r="D33" s="6"/>
      <c r="E33" s="6">
        <v>41611.482086458331</v>
      </c>
    </row>
    <row r="34" spans="1:5">
      <c r="A34" s="5" t="s">
        <v>28</v>
      </c>
      <c r="B34" s="5"/>
      <c r="C34" s="6">
        <v>41591.481355787037</v>
      </c>
      <c r="D34" s="6"/>
      <c r="E34" s="6">
        <v>41593.482086458331</v>
      </c>
    </row>
    <row r="35" spans="1:5">
      <c r="A35" s="5" t="s">
        <v>26</v>
      </c>
      <c r="B35" s="5"/>
      <c r="C35" s="6">
        <v>41762</v>
      </c>
      <c r="D35" s="6"/>
      <c r="E35" s="6">
        <v>41762</v>
      </c>
    </row>
    <row r="36" spans="1:5">
      <c r="A36" s="5" t="s">
        <v>24</v>
      </c>
      <c r="B36" s="5"/>
      <c r="C36" s="6">
        <v>41586.481355787037</v>
      </c>
      <c r="D36" s="6"/>
      <c r="E36" s="6">
        <v>41582.482086458331</v>
      </c>
    </row>
    <row r="37" spans="1:5">
      <c r="A37" s="5" t="s">
        <v>22</v>
      </c>
      <c r="B37" s="5"/>
      <c r="C37" s="6">
        <v>41762</v>
      </c>
      <c r="D37" s="6"/>
      <c r="E37" s="6">
        <v>41762</v>
      </c>
    </row>
    <row r="38" spans="1:5">
      <c r="A38" s="5" t="s">
        <v>19</v>
      </c>
      <c r="B38" s="5"/>
      <c r="C38" s="6">
        <v>41613</v>
      </c>
      <c r="D38" s="6"/>
      <c r="E38" s="6">
        <v>41613</v>
      </c>
    </row>
    <row r="39" spans="1:5">
      <c r="A39" s="5" t="s">
        <v>17</v>
      </c>
      <c r="B39" s="5"/>
      <c r="C39" s="6">
        <v>41613</v>
      </c>
      <c r="D39" s="6"/>
      <c r="E39" s="6">
        <v>41613</v>
      </c>
    </row>
    <row r="40" spans="1:5">
      <c r="A40" s="5" t="s">
        <v>15</v>
      </c>
      <c r="B40" s="5"/>
      <c r="C40" s="6">
        <v>41762</v>
      </c>
      <c r="D40" s="6"/>
      <c r="E40" s="6">
        <v>41762</v>
      </c>
    </row>
    <row r="41" spans="1:5">
      <c r="A41" s="5" t="s">
        <v>12</v>
      </c>
      <c r="B41" s="5"/>
      <c r="C41" s="6">
        <v>41762</v>
      </c>
      <c r="D41" s="6"/>
      <c r="E41" s="6">
        <v>41762</v>
      </c>
    </row>
    <row r="42" spans="1:5">
      <c r="A42" s="5" t="s">
        <v>7</v>
      </c>
      <c r="B42" s="5"/>
      <c r="C42" s="6">
        <v>41613</v>
      </c>
      <c r="D42" s="6"/>
      <c r="E42" s="6">
        <v>41613</v>
      </c>
    </row>
    <row r="43" spans="1:5">
      <c r="A43" s="5" t="s">
        <v>5</v>
      </c>
      <c r="B43" s="5"/>
      <c r="C43" s="6">
        <v>41613</v>
      </c>
      <c r="D43" s="6"/>
      <c r="E43" s="6">
        <v>41613</v>
      </c>
    </row>
    <row r="44" spans="1:5">
      <c r="A44" s="5" t="s">
        <v>112</v>
      </c>
      <c r="B44" s="5"/>
      <c r="C44" s="6">
        <v>41604.481355787037</v>
      </c>
      <c r="D44" s="6"/>
      <c r="E44" s="6">
        <v>41605.482086458331</v>
      </c>
    </row>
    <row r="45" spans="1:5">
      <c r="A45" s="5" t="s">
        <v>109</v>
      </c>
      <c r="B45" s="5"/>
      <c r="C45" s="6">
        <v>41762</v>
      </c>
      <c r="D45" s="6"/>
      <c r="E45" s="6">
        <v>41762</v>
      </c>
    </row>
    <row r="46" spans="1:5">
      <c r="A46" s="5" t="s">
        <v>107</v>
      </c>
      <c r="B46" s="5"/>
      <c r="C46" s="6">
        <v>41613</v>
      </c>
      <c r="D46" s="6"/>
      <c r="E46" s="6">
        <v>41613</v>
      </c>
    </row>
    <row r="47" spans="1:5">
      <c r="A47" s="5" t="s">
        <v>105</v>
      </c>
      <c r="B47" s="5"/>
      <c r="C47" s="6">
        <v>41613</v>
      </c>
      <c r="D47" s="6"/>
      <c r="E47" s="6">
        <v>41613</v>
      </c>
    </row>
    <row r="48" spans="1:5">
      <c r="A48" s="5" t="s">
        <v>103</v>
      </c>
      <c r="B48" s="5"/>
      <c r="C48" s="6">
        <v>41613</v>
      </c>
      <c r="D48" s="6"/>
      <c r="E48" s="6">
        <v>41613</v>
      </c>
    </row>
    <row r="49" spans="1:5">
      <c r="A49" s="5" t="s">
        <v>101</v>
      </c>
      <c r="B49" s="5"/>
      <c r="C49" s="6">
        <v>41594.481355787037</v>
      </c>
      <c r="D49" s="6"/>
      <c r="E49" s="6">
        <v>41596.482086458331</v>
      </c>
    </row>
    <row r="50" spans="1:5">
      <c r="A50" s="5" t="s">
        <v>99</v>
      </c>
      <c r="B50" s="5"/>
      <c r="C50" s="6">
        <v>41552.481355787037</v>
      </c>
      <c r="D50" s="6"/>
      <c r="E50" s="6">
        <v>41552.482086458331</v>
      </c>
    </row>
    <row r="51" spans="1:5">
      <c r="A51" s="5" t="s">
        <v>97</v>
      </c>
      <c r="B51" s="5"/>
      <c r="C51" s="6">
        <v>41762</v>
      </c>
      <c r="D51" s="6"/>
      <c r="E51" s="6">
        <v>41762</v>
      </c>
    </row>
    <row r="52" spans="1:5">
      <c r="A52" s="5" t="s">
        <v>95</v>
      </c>
      <c r="B52" s="5"/>
      <c r="C52" s="6">
        <v>41762</v>
      </c>
      <c r="D52" s="6"/>
      <c r="E52" s="6">
        <v>41762</v>
      </c>
    </row>
  </sheetData>
  <sortState ref="A2:B53">
    <sortCondition ref="A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Dates</vt:lpstr>
      <vt:lpstr>ToDo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ml ml</cp:lastModifiedBy>
  <dcterms:created xsi:type="dcterms:W3CDTF">2017-10-04T15:36:10Z</dcterms:created>
  <dcterms:modified xsi:type="dcterms:W3CDTF">2017-10-04T16:15:48Z</dcterms:modified>
</cp:coreProperties>
</file>